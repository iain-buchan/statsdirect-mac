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13_ncr:1_{6270CCA7-9A6E-4207-B84A-5ED6C4A4C079}" xr6:coauthVersionLast="47" xr6:coauthVersionMax="47" xr10:uidLastSave="{00000000-0000-0000-0000-000000000000}"/>
  <bookViews>
    <workbookView xWindow="1158" yWindow="2454" windowWidth="31116" windowHeight="17562" tabRatio="757" xr2:uid="{00000000-000D-0000-FFFF-FFFF00000000}"/>
  </bookViews>
  <sheets>
    <sheet name="Parametric" sheetId="1" r:id="rId1"/>
    <sheet name="Nonparametric" sheetId="2" r:id="rId2"/>
    <sheet name="ANOVA" sheetId="3" r:id="rId3"/>
    <sheet name="Regression" sheetId="4" r:id="rId4"/>
    <sheet name="Agreement" sheetId="5" r:id="rId5"/>
    <sheet name="Survival" sheetId="6" r:id="rId6"/>
    <sheet name="Meta-analysis" sheetId="7" r:id="rId7"/>
    <sheet name="Graphics" sheetId="8" r:id="rId8"/>
    <sheet name="Tables" sheetId="9" r:id="rId9"/>
    <sheet name="Rates" sheetId="10" r:id="rId10"/>
    <sheet name="Other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0" l="1"/>
  <c r="W11" i="8"/>
  <c r="V11" i="8"/>
  <c r="W10" i="8"/>
  <c r="V10" i="8"/>
  <c r="AD9" i="8"/>
  <c r="W9" i="8"/>
  <c r="V9" i="8"/>
  <c r="W8" i="8"/>
  <c r="V8" i="8"/>
  <c r="W7" i="8"/>
  <c r="V7" i="8"/>
  <c r="W6" i="8"/>
  <c r="V6" i="8"/>
  <c r="W5" i="8"/>
  <c r="V5" i="8"/>
  <c r="W4" i="8"/>
  <c r="V4" i="8"/>
  <c r="W3" i="8"/>
  <c r="V3" i="8"/>
  <c r="W2" i="8"/>
  <c r="V2" i="8"/>
</calcChain>
</file>

<file path=xl/sharedStrings.xml><?xml version="1.0" encoding="utf-8"?>
<sst xmlns="http://schemas.openxmlformats.org/spreadsheetml/2006/main" count="1395" uniqueCount="551">
  <si>
    <t>2nd</t>
  </si>
  <si>
    <t>Died</t>
  </si>
  <si>
    <t>Adams</t>
  </si>
  <si>
    <t>Setosa Sepal Length</t>
  </si>
  <si>
    <t>Aborigine</t>
  </si>
  <si>
    <t>Experimental responders</t>
  </si>
  <si>
    <t>Control mean</t>
  </si>
  <si>
    <t>T2</t>
  </si>
  <si>
    <t>GASP</t>
  </si>
  <si>
    <t>T1 (rep 3)</t>
  </si>
  <si>
    <t>Blood Group</t>
  </si>
  <si>
    <t>Reaction</t>
  </si>
  <si>
    <t>80+</t>
  </si>
  <si>
    <t>SDI conceived</t>
  </si>
  <si>
    <t>45-49</t>
  </si>
  <si>
    <t>Smokers Dead</t>
  </si>
  <si>
    <t>Censor (HMO)</t>
  </si>
  <si>
    <t>x1 (Longley)</t>
  </si>
  <si>
    <t>Feldstedt</t>
  </si>
  <si>
    <t>Weight change</t>
  </si>
  <si>
    <t>Stein &amp; Aronson</t>
  </si>
  <si>
    <t>Triglceride (cord blood)</t>
  </si>
  <si>
    <t>Suicidal</t>
  </si>
  <si>
    <t>45-54 years</t>
  </si>
  <si>
    <t>LIMIT-2</t>
  </si>
  <si>
    <t>Hart &amp; Sutherland</t>
  </si>
  <si>
    <t>Subject-years</t>
  </si>
  <si>
    <t>B</t>
  </si>
  <si>
    <t>P3L3</t>
  </si>
  <si>
    <t>Systolic BP</t>
  </si>
  <si>
    <t>HRQoL</t>
  </si>
  <si>
    <t>0 to 4</t>
  </si>
  <si>
    <t>Wagner</t>
  </si>
  <si>
    <t>Very high</t>
  </si>
  <si>
    <t>School</t>
  </si>
  <si>
    <t>Sleep</t>
  </si>
  <si>
    <t>Ehert</t>
  </si>
  <si>
    <t>Placebo 2</t>
  </si>
  <si>
    <t>Smith</t>
  </si>
  <si>
    <t/>
  </si>
  <si>
    <t>Non-Smoker Years</t>
  </si>
  <si>
    <t>Age group (25-29)</t>
  </si>
  <si>
    <t>Control person-time</t>
  </si>
  <si>
    <t>Oliver (standard)</t>
  </si>
  <si>
    <t>60-64</t>
  </si>
  <si>
    <t>censor m4</t>
  </si>
  <si>
    <t>CMT 170</t>
  </si>
  <si>
    <t>Home Size</t>
  </si>
  <si>
    <t>400m</t>
  </si>
  <si>
    <t>Group capacity</t>
  </si>
  <si>
    <t>Rabbit</t>
  </si>
  <si>
    <t>P2L2</t>
  </si>
  <si>
    <t>Study</t>
  </si>
  <si>
    <t>Question 4</t>
  </si>
  <si>
    <t>Orton</t>
  </si>
  <si>
    <t>P4L1</t>
  </si>
  <si>
    <t>Latitude</t>
  </si>
  <si>
    <t>45-54</t>
  </si>
  <si>
    <t>Order</t>
  </si>
  <si>
    <t>CMT 167</t>
  </si>
  <si>
    <t>CMT 175</t>
  </si>
  <si>
    <t>Treatment 1</t>
  </si>
  <si>
    <t>Exptal. SD</t>
  </si>
  <si>
    <t>x2 (Longley)</t>
  </si>
  <si>
    <t>Date</t>
  </si>
  <si>
    <t>85-89</t>
  </si>
  <si>
    <t>P1L1</t>
  </si>
  <si>
    <t>HRT Total</t>
  </si>
  <si>
    <t>Age &gt;= 65</t>
  </si>
  <si>
    <t>Gender</t>
  </si>
  <si>
    <t>RACE (w)</t>
  </si>
  <si>
    <t>Total</t>
  </si>
  <si>
    <t>Exposed cases</t>
  </si>
  <si>
    <t>BD 5_I</t>
  </si>
  <si>
    <t>Reception</t>
  </si>
  <si>
    <t>AB</t>
  </si>
  <si>
    <t>T3 (rep 2)</t>
  </si>
  <si>
    <t>CDP</t>
  </si>
  <si>
    <t>xRater3</t>
  </si>
  <si>
    <t>BD 2_I</t>
  </si>
  <si>
    <t>Smokers total</t>
  </si>
  <si>
    <t>PImax (cm H2O)</t>
  </si>
  <si>
    <t>censor m1</t>
  </si>
  <si>
    <t>Grass 4</t>
  </si>
  <si>
    <t>White British</t>
  </si>
  <si>
    <t>35-39</t>
  </si>
  <si>
    <t>Substance 2</t>
  </si>
  <si>
    <t>Hospital (PFGE)</t>
  </si>
  <si>
    <t>85+</t>
  </si>
  <si>
    <t>Age</t>
  </si>
  <si>
    <t>Tarone</t>
  </si>
  <si>
    <t>Age group (35-39)</t>
  </si>
  <si>
    <t>SDI not conceived</t>
  </si>
  <si>
    <t>Deaths</t>
  </si>
  <si>
    <t>5-14 years</t>
  </si>
  <si>
    <t>Machine Y</t>
  </si>
  <si>
    <t>3rd</t>
  </si>
  <si>
    <t>Group Surv</t>
  </si>
  <si>
    <t>Frimodt-Moller et al</t>
  </si>
  <si>
    <t>Orwell</t>
  </si>
  <si>
    <t>T1</t>
  </si>
  <si>
    <t>Group</t>
  </si>
  <si>
    <t>Marathon</t>
  </si>
  <si>
    <t>Slight/no symptoms</t>
  </si>
  <si>
    <t>ISIS-4</t>
  </si>
  <si>
    <t>mar</t>
  </si>
  <si>
    <t>Method 2</t>
  </si>
  <si>
    <t>Counts</t>
  </si>
  <si>
    <t>40-44</t>
  </si>
  <si>
    <t>week</t>
  </si>
  <si>
    <t>LBWT</t>
  </si>
  <si>
    <t>55 to 65</t>
  </si>
  <si>
    <t>Index Events</t>
  </si>
  <si>
    <t>Time (gallstones)</t>
  </si>
  <si>
    <t>GPA</t>
  </si>
  <si>
    <t>Exptal. mean</t>
  </si>
  <si>
    <t>Borrowdale</t>
  </si>
  <si>
    <t>High</t>
  </si>
  <si>
    <t>w</t>
  </si>
  <si>
    <t>T2 (rep 1)</t>
  </si>
  <si>
    <t>Tubes</t>
  </si>
  <si>
    <t>Sample size</t>
  </si>
  <si>
    <t>BD 2_F</t>
  </si>
  <si>
    <t>P1L3</t>
  </si>
  <si>
    <t>Community (PFGE)</t>
  </si>
  <si>
    <t>Age group (55-59)</t>
  </si>
  <si>
    <t>IgM</t>
  </si>
  <si>
    <t>Jones</t>
  </si>
  <si>
    <t>Subject's Age (years)</t>
  </si>
  <si>
    <t>Experimental group size</t>
  </si>
  <si>
    <t>Reference Sizes</t>
  </si>
  <si>
    <t>25-34</t>
  </si>
  <si>
    <t>Grass 1</t>
  </si>
  <si>
    <t>A</t>
  </si>
  <si>
    <t>75 to 85</t>
  </si>
  <si>
    <t>AMIS</t>
  </si>
  <si>
    <t>Ceremuzynski</t>
  </si>
  <si>
    <t>EFM dead</t>
  </si>
  <si>
    <t>Moderate</t>
  </si>
  <si>
    <t>Measurement</t>
  </si>
  <si>
    <t>Employ</t>
  </si>
  <si>
    <t>100m</t>
  </si>
  <si>
    <t>Placebo 1</t>
  </si>
  <si>
    <t>Odds Ratio</t>
  </si>
  <si>
    <t>15 to 19</t>
  </si>
  <si>
    <t>xRater5</t>
  </si>
  <si>
    <t>Allocation</t>
  </si>
  <si>
    <t>Drug 2</t>
  </si>
  <si>
    <t>h</t>
  </si>
  <si>
    <t>Werner</t>
  </si>
  <si>
    <t>Drug (HMO)</t>
  </si>
  <si>
    <t>censor m3</t>
  </si>
  <si>
    <t>10000m</t>
  </si>
  <si>
    <t>Substance 4</t>
  </si>
  <si>
    <t>Age group (50-54)</t>
  </si>
  <si>
    <t>P2L1</t>
  </si>
  <si>
    <t>Question 3</t>
  </si>
  <si>
    <t>White</t>
  </si>
  <si>
    <t>Pooled</t>
  </si>
  <si>
    <t>SMOKE</t>
  </si>
  <si>
    <t>Low Protein</t>
  </si>
  <si>
    <t>Morton</t>
  </si>
  <si>
    <t>Stage group</t>
  </si>
  <si>
    <t>Coetzee &amp; Berjak</t>
  </si>
  <si>
    <t>VC not exposed</t>
  </si>
  <si>
    <t>15-19</t>
  </si>
  <si>
    <t>65-74 years</t>
  </si>
  <si>
    <t>25-34 years</t>
  </si>
  <si>
    <t>GMAT</t>
  </si>
  <si>
    <t>80-84</t>
  </si>
  <si>
    <t>Treatment Gp</t>
  </si>
  <si>
    <t>Singh</t>
  </si>
  <si>
    <t>BD 3_I</t>
  </si>
  <si>
    <t>Labels</t>
  </si>
  <si>
    <t>Control responders</t>
  </si>
  <si>
    <t>Recurrence</t>
  </si>
  <si>
    <t>T2 (rep 3)</t>
  </si>
  <si>
    <t>Method 4</t>
  </si>
  <si>
    <t>no EFM total</t>
  </si>
  <si>
    <t>Vitamin D</t>
  </si>
  <si>
    <t>High Protein</t>
  </si>
  <si>
    <t>Second Born</t>
  </si>
  <si>
    <t>LCI</t>
  </si>
  <si>
    <t>Temp</t>
  </si>
  <si>
    <t>Rater5</t>
  </si>
  <si>
    <t>Xi</t>
  </si>
  <si>
    <t>TotalNoDelay</t>
  </si>
  <si>
    <t>Veterans</t>
  </si>
  <si>
    <t>Health</t>
  </si>
  <si>
    <t>% Increase</t>
  </si>
  <si>
    <t>Fibres</t>
  </si>
  <si>
    <t>Year</t>
  </si>
  <si>
    <t>Number</t>
  </si>
  <si>
    <t>Censor Surv</t>
  </si>
  <si>
    <t>Age group (65-69)</t>
  </si>
  <si>
    <t>Dissolve</t>
  </si>
  <si>
    <t>Negative</t>
  </si>
  <si>
    <t>xRater2</t>
  </si>
  <si>
    <t>30-34</t>
  </si>
  <si>
    <t>55-64 years</t>
  </si>
  <si>
    <t>Under 1 year</t>
  </si>
  <si>
    <t>Trial Time</t>
  </si>
  <si>
    <t>Grass 3</t>
  </si>
  <si>
    <t>Sex</t>
  </si>
  <si>
    <t>Substance 1</t>
  </si>
  <si>
    <t>EFM total</t>
  </si>
  <si>
    <t>eighth</t>
  </si>
  <si>
    <t>70+</t>
  </si>
  <si>
    <t>CMT 181</t>
  </si>
  <si>
    <t>Digits observed</t>
  </si>
  <si>
    <t>black</t>
  </si>
  <si>
    <t>Pop</t>
  </si>
  <si>
    <t>Support</t>
  </si>
  <si>
    <t>Log Dose_Std</t>
  </si>
  <si>
    <t>Age Groups</t>
  </si>
  <si>
    <t>10 to 14</t>
  </si>
  <si>
    <t>Penicillin</t>
  </si>
  <si>
    <t>Brown</t>
  </si>
  <si>
    <t>Non-exposed total</t>
  </si>
  <si>
    <t>Schechter 2</t>
  </si>
  <si>
    <t>45 to 55</t>
  </si>
  <si>
    <t>Energy intake</t>
  </si>
  <si>
    <t>15-24</t>
  </si>
  <si>
    <t>Author</t>
  </si>
  <si>
    <t>Machine X</t>
  </si>
  <si>
    <t>IgM Values</t>
  </si>
  <si>
    <t>Home</t>
  </si>
  <si>
    <t>85 years and over</t>
  </si>
  <si>
    <t>55-59</t>
  </si>
  <si>
    <t>BD 3_F</t>
  </si>
  <si>
    <t>Log Dose_I</t>
  </si>
  <si>
    <t>Data</t>
  </si>
  <si>
    <t>Population</t>
  </si>
  <si>
    <t>Treatment 4</t>
  </si>
  <si>
    <t>Mullen</t>
  </si>
  <si>
    <t>Ferguson &amp; Simes</t>
  </si>
  <si>
    <t>10 to 19</t>
  </si>
  <si>
    <t>Method 1</t>
  </si>
  <si>
    <t>y (Longley)</t>
  </si>
  <si>
    <t>T1 (rep 2)</t>
  </si>
  <si>
    <t>Michelson</t>
  </si>
  <si>
    <t>white</t>
  </si>
  <si>
    <t>Abraham</t>
  </si>
  <si>
    <t>Expected</t>
  </si>
  <si>
    <t>65 to 75</t>
  </si>
  <si>
    <t>Week</t>
  </si>
  <si>
    <t>Rater2</t>
  </si>
  <si>
    <t>Community (RAPD)</t>
  </si>
  <si>
    <t>RACE (b)</t>
  </si>
  <si>
    <t>Anxiety</t>
  </si>
  <si>
    <t>Censor</t>
  </si>
  <si>
    <t>Expt 2</t>
  </si>
  <si>
    <t>Age split</t>
  </si>
  <si>
    <t>Control cancer</t>
  </si>
  <si>
    <t>CureDelay</t>
  </si>
  <si>
    <t>paro</t>
  </si>
  <si>
    <t>Remission time</t>
  </si>
  <si>
    <t>Correlation</t>
  </si>
  <si>
    <t>Instrument 3</t>
  </si>
  <si>
    <t>Process</t>
  </si>
  <si>
    <t>Exposed total</t>
  </si>
  <si>
    <t>half</t>
  </si>
  <si>
    <t>d2</t>
  </si>
  <si>
    <t>30 to 39</t>
  </si>
  <si>
    <t>Comstock &amp; Webster</t>
  </si>
  <si>
    <t>Observer</t>
  </si>
  <si>
    <t>Intervention deaths</t>
  </si>
  <si>
    <t>CureNoDelay</t>
  </si>
  <si>
    <t>Zu</t>
  </si>
  <si>
    <t>xRater4</t>
  </si>
  <si>
    <t>time m2</t>
  </si>
  <si>
    <t>Native American</t>
  </si>
  <si>
    <t>TotalDelay</t>
  </si>
  <si>
    <t>Lamont</t>
  </si>
  <si>
    <t>pt1</t>
  </si>
  <si>
    <t>1-4 years</t>
  </si>
  <si>
    <t>Drug 1</t>
  </si>
  <si>
    <t>random</t>
  </si>
  <si>
    <t>50 to 59</t>
  </si>
  <si>
    <t>censor m2</t>
  </si>
  <si>
    <t>Age Bands</t>
  </si>
  <si>
    <t>PTD</t>
  </si>
  <si>
    <t>Substance 3</t>
  </si>
  <si>
    <t>Smoking</t>
  </si>
  <si>
    <t>Log Dose_F</t>
  </si>
  <si>
    <t>Exptal. number</t>
  </si>
  <si>
    <t>Object</t>
  </si>
  <si>
    <t>Question 2</t>
  </si>
  <si>
    <t>Men</t>
  </si>
  <si>
    <t>PAIRID</t>
  </si>
  <si>
    <t>Daniels</t>
  </si>
  <si>
    <t>Depression</t>
  </si>
  <si>
    <t>20 to 35</t>
  </si>
  <si>
    <t>200m</t>
  </si>
  <si>
    <t>Fraction a</t>
  </si>
  <si>
    <t>Cough</t>
  </si>
  <si>
    <t>educ</t>
  </si>
  <si>
    <t>Control Total</t>
  </si>
  <si>
    <t>Diameter</t>
  </si>
  <si>
    <t>PARIS</t>
  </si>
  <si>
    <t>BD 1_I</t>
  </si>
  <si>
    <t>No Head Injury</t>
  </si>
  <si>
    <t>Multiple</t>
  </si>
  <si>
    <t>Mean-SD</t>
  </si>
  <si>
    <t>70 to 79</t>
  </si>
  <si>
    <t>800m</t>
  </si>
  <si>
    <t>Treatment group</t>
  </si>
  <si>
    <t>Non-smokers Dead</t>
  </si>
  <si>
    <t>x5 (Longley)</t>
  </si>
  <si>
    <t>ref</t>
  </si>
  <si>
    <t>race</t>
  </si>
  <si>
    <t>Rosenthal et al</t>
  </si>
  <si>
    <t>Age Group (HMO)</t>
  </si>
  <si>
    <t>RACE</t>
  </si>
  <si>
    <t>Event</t>
  </si>
  <si>
    <t>Lally</t>
  </si>
  <si>
    <t>Method 3</t>
  </si>
  <si>
    <t>Strat</t>
  </si>
  <si>
    <t>5 to 9</t>
  </si>
  <si>
    <t>Age exposed &gt; 10y</t>
  </si>
  <si>
    <t>MRC-2</t>
  </si>
  <si>
    <t>Adherent</t>
  </si>
  <si>
    <t>Head Injury</t>
  </si>
  <si>
    <t>Rater4</t>
  </si>
  <si>
    <t>90 and over</t>
  </si>
  <si>
    <t>prio</t>
  </si>
  <si>
    <t>Psychology</t>
  </si>
  <si>
    <t>4th</t>
  </si>
  <si>
    <t>24 &lt;=</t>
  </si>
  <si>
    <t>Marked symptoms</t>
  </si>
  <si>
    <t>Expt 4</t>
  </si>
  <si>
    <t>1500m</t>
  </si>
  <si>
    <t>Bertschat</t>
  </si>
  <si>
    <t>x2</t>
  </si>
  <si>
    <t>T3 (rep 1)</t>
  </si>
  <si>
    <t>xRater1</t>
  </si>
  <si>
    <t>Instrument 5</t>
  </si>
  <si>
    <t>Byers</t>
  </si>
  <si>
    <t>Sulmasy</t>
  </si>
  <si>
    <t>35 to 45</t>
  </si>
  <si>
    <t>Hypertensive</t>
  </si>
  <si>
    <t>one</t>
  </si>
  <si>
    <t>d</t>
  </si>
  <si>
    <t>Grass 2</t>
  </si>
  <si>
    <t>Wilson</t>
  </si>
  <si>
    <t>Exposed person-time</t>
  </si>
  <si>
    <t>Obesity</t>
  </si>
  <si>
    <t>Control group size</t>
  </si>
  <si>
    <t>VC exposed &lt; 10y</t>
  </si>
  <si>
    <t>Intervention total</t>
  </si>
  <si>
    <t>3rd choice</t>
  </si>
  <si>
    <t>yy</t>
  </si>
  <si>
    <t>Smoker Years</t>
  </si>
  <si>
    <t>Temp -SE</t>
  </si>
  <si>
    <t>Comstock et al</t>
  </si>
  <si>
    <t>time m4</t>
  </si>
  <si>
    <t>Schechter 1</t>
  </si>
  <si>
    <t>Kottke</t>
  </si>
  <si>
    <t>P4L3</t>
  </si>
  <si>
    <t>Non-exposed cases</t>
  </si>
  <si>
    <t>BD 1_F</t>
  </si>
  <si>
    <t>50-54</t>
  </si>
  <si>
    <t>Age group (30-34)</t>
  </si>
  <si>
    <t>Sherraton</t>
  </si>
  <si>
    <t>x6 (Longley)</t>
  </si>
  <si>
    <t>Treatment 3</t>
  </si>
  <si>
    <t>Pool</t>
  </si>
  <si>
    <t>ISIS-2</t>
  </si>
  <si>
    <t>20 to 29</t>
  </si>
  <si>
    <t>Time</t>
  </si>
  <si>
    <t>Farm Boys</t>
  </si>
  <si>
    <t>Age (HMO)</t>
  </si>
  <si>
    <t>75-84 years</t>
  </si>
  <si>
    <t>35-44 years</t>
  </si>
  <si>
    <t>Rater1</t>
  </si>
  <si>
    <t>35-44</t>
  </si>
  <si>
    <t>quarter</t>
  </si>
  <si>
    <t>P3L2</t>
  </si>
  <si>
    <t>1st</t>
  </si>
  <si>
    <t>Expt 1</t>
  </si>
  <si>
    <t>Control total</t>
  </si>
  <si>
    <t>HT</t>
  </si>
  <si>
    <t>Vandiviere et al</t>
  </si>
  <si>
    <t>75-79</t>
  </si>
  <si>
    <t>Instrument 2</t>
  </si>
  <si>
    <t>UCI</t>
  </si>
  <si>
    <t>T3 (rep 3)</t>
  </si>
  <si>
    <t>Age group</t>
  </si>
  <si>
    <t>Control SD</t>
  </si>
  <si>
    <t>d1</t>
  </si>
  <si>
    <t>CN</t>
  </si>
  <si>
    <t>Frequency</t>
  </si>
  <si>
    <t>40 to 49</t>
  </si>
  <si>
    <t>BD 3_Std</t>
  </si>
  <si>
    <t>Age not exposed</t>
  </si>
  <si>
    <t>Age group (45-49)</t>
  </si>
  <si>
    <t>Reference Mortality</t>
  </si>
  <si>
    <t>age strata</t>
  </si>
  <si>
    <t>time m1</t>
  </si>
  <si>
    <t>Snoring</t>
  </si>
  <si>
    <t>LWT</t>
  </si>
  <si>
    <t>Career</t>
  </si>
  <si>
    <t>25-29</t>
  </si>
  <si>
    <t>60 to 69</t>
  </si>
  <si>
    <t>AGE</t>
  </si>
  <si>
    <t>5000m</t>
  </si>
  <si>
    <t>Mean Urate (mmol/l)</t>
  </si>
  <si>
    <t>TN</t>
  </si>
  <si>
    <t>Birth Weight</t>
  </si>
  <si>
    <t>Observations</t>
  </si>
  <si>
    <t>Aronson</t>
  </si>
  <si>
    <t>Boys smk</t>
  </si>
  <si>
    <t>Question 1</t>
  </si>
  <si>
    <t>Ning</t>
  </si>
  <si>
    <t>1st choice</t>
  </si>
  <si>
    <t>T3</t>
  </si>
  <si>
    <t>Dimension</t>
  </si>
  <si>
    <t>Mean+SD</t>
  </si>
  <si>
    <t>+ Menses</t>
  </si>
  <si>
    <t>Age group (40-44)</t>
  </si>
  <si>
    <t>Control deaths</t>
  </si>
  <si>
    <t>Rasmussen</t>
  </si>
  <si>
    <t>SD Urate (mmol/l)</t>
  </si>
  <si>
    <t>VC exposed &gt; 10y</t>
  </si>
  <si>
    <t>systematic</t>
  </si>
  <si>
    <t>alternate</t>
  </si>
  <si>
    <t>CMT 64</t>
  </si>
  <si>
    <t>x3 (Longley)</t>
  </si>
  <si>
    <t>no EFM dead</t>
  </si>
  <si>
    <t>Brenner</t>
  </si>
  <si>
    <t>First Born</t>
  </si>
  <si>
    <t>Trial</t>
  </si>
  <si>
    <t>Control CV Event</t>
  </si>
  <si>
    <t>Relative Frequency%</t>
  </si>
  <si>
    <t>T2 (rep 2)</t>
  </si>
  <si>
    <t>Index Group Sizes</t>
  </si>
  <si>
    <t>Times (HMO)</t>
  </si>
  <si>
    <t>MRC-1</t>
  </si>
  <si>
    <t>Town Boys</t>
  </si>
  <si>
    <t>Rater3</t>
  </si>
  <si>
    <t>age</t>
  </si>
  <si>
    <t>fin</t>
  </si>
  <si>
    <t>Expt 3</t>
  </si>
  <si>
    <t>TPT Madras</t>
  </si>
  <si>
    <t>Censorship</t>
  </si>
  <si>
    <t>x1</t>
  </si>
  <si>
    <t>wexp</t>
  </si>
  <si>
    <t>Instrument 4</t>
  </si>
  <si>
    <t>Age group (70+)</t>
  </si>
  <si>
    <t>Position</t>
  </si>
  <si>
    <t>Weak</t>
  </si>
  <si>
    <t>Thogersen</t>
  </si>
  <si>
    <t>Oliver (intensive)</t>
  </si>
  <si>
    <t>CP</t>
  </si>
  <si>
    <t>Age exposed &lt; 10y</t>
  </si>
  <si>
    <t>Age group (60-64)</t>
  </si>
  <si>
    <t>PEFR After</t>
  </si>
  <si>
    <t>BD 2_Std</t>
  </si>
  <si>
    <t>Fern</t>
  </si>
  <si>
    <t>Smokers cancer</t>
  </si>
  <si>
    <t>Vi</t>
  </si>
  <si>
    <t>UI</t>
  </si>
  <si>
    <t>Temp +SE</t>
  </si>
  <si>
    <t>Levinson</t>
  </si>
  <si>
    <t>Pereira</t>
  </si>
  <si>
    <t>65-69</t>
  </si>
  <si>
    <t>P2L3</t>
  </si>
  <si>
    <t>O</t>
  </si>
  <si>
    <t>Grief</t>
  </si>
  <si>
    <t>time m3</t>
  </si>
  <si>
    <t>Sexual</t>
  </si>
  <si>
    <t>Weeks since conception</t>
  </si>
  <si>
    <t>Log(base 10): IgM</t>
  </si>
  <si>
    <t>P4L2</t>
  </si>
  <si>
    <t>pt2</t>
  </si>
  <si>
    <t>Parents smk</t>
  </si>
  <si>
    <t>Darling</t>
  </si>
  <si>
    <t>Venner</t>
  </si>
  <si>
    <t>TP</t>
  </si>
  <si>
    <t>Time Surv</t>
  </si>
  <si>
    <t>Age &lt; 65</t>
  </si>
  <si>
    <t>Income</t>
  </si>
  <si>
    <t>x4 (Longley)</t>
  </si>
  <si>
    <t>Treatment 2</t>
  </si>
  <si>
    <t>four</t>
  </si>
  <si>
    <t>KW Hrs/Mnth</t>
  </si>
  <si>
    <t>P1L2</t>
  </si>
  <si>
    <t>Interval</t>
  </si>
  <si>
    <t>T1 (rep 1)</t>
  </si>
  <si>
    <t>Job Satisfaction</t>
  </si>
  <si>
    <t>Girls</t>
  </si>
  <si>
    <t>P3L1</t>
  </si>
  <si>
    <t>0-4</t>
  </si>
  <si>
    <t>70-74</t>
  </si>
  <si>
    <t>Yi</t>
  </si>
  <si>
    <t>2nd choice</t>
  </si>
  <si>
    <t>Schechter</t>
  </si>
  <si>
    <t>Control cases</t>
  </si>
  <si>
    <t>Instrument 1</t>
  </si>
  <si>
    <t>other</t>
  </si>
  <si>
    <t>Cumulative Frequency</t>
  </si>
  <si>
    <t>Control number</t>
  </si>
  <si>
    <t>BD 4_I</t>
  </si>
  <si>
    <t>55-64</t>
  </si>
  <si>
    <t>PEFR Before</t>
  </si>
  <si>
    <t>Withdrawn</t>
  </si>
  <si>
    <t>*</t>
  </si>
  <si>
    <t>arrest</t>
  </si>
  <si>
    <t>20-24</t>
  </si>
  <si>
    <t>Golf</t>
  </si>
  <si>
    <t>HRT CV Event</t>
  </si>
  <si>
    <t>15-24 years</t>
  </si>
  <si>
    <t>BD 1_Std</t>
  </si>
  <si>
    <t>Treatment</t>
  </si>
  <si>
    <t>Block</t>
  </si>
  <si>
    <t>Repeat</t>
  </si>
  <si>
    <t>eGFR</t>
  </si>
  <si>
    <t>Hgb</t>
  </si>
  <si>
    <t>Serum Creatinine</t>
  </si>
  <si>
    <t>Plasma Creatinine</t>
  </si>
  <si>
    <t>Magnesium trial</t>
  </si>
  <si>
    <t>Malabsorbtion</t>
  </si>
  <si>
    <t>Zidovudine</t>
  </si>
  <si>
    <t>Patient</t>
  </si>
  <si>
    <t>Normal</t>
  </si>
  <si>
    <t>Cancers</t>
  </si>
  <si>
    <t>M</t>
  </si>
  <si>
    <t>F</t>
  </si>
  <si>
    <t>BMI</t>
  </si>
  <si>
    <t>Age (Years)</t>
  </si>
  <si>
    <t>Venezuela</t>
  </si>
  <si>
    <t>Colombia</t>
  </si>
  <si>
    <t>Ecuador</t>
  </si>
  <si>
    <t>Peru</t>
  </si>
  <si>
    <t>Bolivia</t>
  </si>
  <si>
    <t>Country</t>
  </si>
  <si>
    <t>GNP per capita</t>
  </si>
  <si>
    <t>Infant Deaths</t>
  </si>
  <si>
    <t>Live Births</t>
  </si>
  <si>
    <t>Infant Mortality Rate (IMR)</t>
  </si>
  <si>
    <t>yRater1</t>
  </si>
  <si>
    <t>yRater2</t>
  </si>
  <si>
    <t>yRater3</t>
  </si>
  <si>
    <t>yRater4</t>
  </si>
  <si>
    <t>yRater5</t>
  </si>
  <si>
    <t>UK Mid-2024 Persons</t>
  </si>
  <si>
    <t>UK Mid-2024 Males</t>
  </si>
  <si>
    <t>UK Mid-2024 Age Bands</t>
  </si>
  <si>
    <t>5-9</t>
  </si>
  <si>
    <t>10-14</t>
  </si>
  <si>
    <t>UK Mid-2024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</si>
</sst>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Protection="1">
      <protection locked="0"/>
    </xf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0" fontId="3" fillId="0" borderId="0" xfId="0" applyFont="1"/>
    <xf numFmtId="11" fontId="1" fillId="0" borderId="0" xfId="0" applyNumberFormat="1" applyFont="1"/>
    <xf numFmtId="14" fontId="1" fillId="0" borderId="0" xfId="0" applyNumberFormat="1" applyFont="1"/>
    <xf numFmtId="14" fontId="1" fillId="0" borderId="0" xfId="0" applyNumberFormat="1" applyFont="1" applyProtection="1">
      <protection locked="0"/>
    </xf>
    <xf numFmtId="49" fontId="1" fillId="0" borderId="0" xfId="0" applyNumberFormat="1" applyFont="1" applyProtection="1">
      <protection locked="0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99"/>
  <sheetViews>
    <sheetView tabSelected="1" workbookViewId="0"/>
  </sheetViews>
  <sheetFormatPr defaultColWidth="11.83203125" defaultRowHeight="14.4" x14ac:dyDescent="0.55000000000000004"/>
  <cols>
    <col min="1" max="1" width="10.77734375" style="1" bestFit="1" customWidth="1"/>
    <col min="2" max="2" width="9.5" style="1" bestFit="1" customWidth="1"/>
    <col min="3" max="3" width="9.5546875" style="1" bestFit="1" customWidth="1"/>
    <col min="4" max="4" width="11" style="1" bestFit="1" customWidth="1"/>
    <col min="5" max="5" width="10.609375" style="1" bestFit="1" customWidth="1"/>
    <col min="6" max="6" width="8.1640625" style="1" bestFit="1" customWidth="1"/>
    <col min="7" max="7" width="9.27734375" style="1" bestFit="1" customWidth="1"/>
    <col min="8" max="8" width="4.109375" style="1" bestFit="1" customWidth="1"/>
    <col min="9" max="9" width="17.0546875" style="2" bestFit="1" customWidth="1"/>
    <col min="10" max="10" width="16.0546875" style="2" bestFit="1" customWidth="1"/>
    <col min="11" max="11" width="11.94140625" style="1" bestFit="1" customWidth="1"/>
    <col min="12" max="12" width="5.83203125" style="2" bestFit="1" customWidth="1"/>
    <col min="13" max="13" width="9.109375" style="2" bestFit="1" customWidth="1"/>
    <col min="14" max="14" width="17" style="2" bestFit="1" customWidth="1"/>
    <col min="15" max="15" width="8.38671875" customWidth="1"/>
    <col min="16" max="16" width="8.21875" customWidth="1"/>
    <col min="17" max="17" width="9.88671875" bestFit="1" customWidth="1"/>
    <col min="18" max="16384" width="11.83203125" style="2"/>
  </cols>
  <sheetData>
    <row r="1" spans="1:14" x14ac:dyDescent="0.55000000000000004">
      <c r="A1" s="1" t="s">
        <v>504</v>
      </c>
      <c r="B1" s="1" t="s">
        <v>456</v>
      </c>
      <c r="C1" s="1" t="s">
        <v>29</v>
      </c>
      <c r="D1" s="1" t="s">
        <v>180</v>
      </c>
      <c r="E1" s="1" t="s">
        <v>160</v>
      </c>
      <c r="F1" s="1" t="s">
        <v>216</v>
      </c>
      <c r="G1" s="1" t="s">
        <v>240</v>
      </c>
      <c r="H1" s="1" t="s">
        <v>126</v>
      </c>
      <c r="I1" s="1" t="s">
        <v>103</v>
      </c>
      <c r="J1" s="1" t="s">
        <v>329</v>
      </c>
      <c r="K1" s="1" t="s">
        <v>221</v>
      </c>
      <c r="L1" s="1" t="s">
        <v>190</v>
      </c>
      <c r="M1" s="2" t="s">
        <v>74</v>
      </c>
      <c r="N1" s="2" t="s">
        <v>3</v>
      </c>
    </row>
    <row r="2" spans="1:14" x14ac:dyDescent="0.55000000000000004">
      <c r="A2" s="1">
        <v>312</v>
      </c>
      <c r="B2" s="1">
        <v>300</v>
      </c>
      <c r="C2" s="1">
        <v>128</v>
      </c>
      <c r="D2" s="1">
        <v>134</v>
      </c>
      <c r="E2" s="1">
        <v>70</v>
      </c>
      <c r="F2" s="1">
        <v>9.8699999999999996E-2</v>
      </c>
      <c r="G2" s="1">
        <v>299.85000000000002</v>
      </c>
      <c r="H2" s="1">
        <v>0.1</v>
      </c>
      <c r="I2" s="1">
        <v>34</v>
      </c>
      <c r="J2" s="1">
        <v>5</v>
      </c>
      <c r="K2" s="1">
        <v>5260</v>
      </c>
      <c r="L2" s="1">
        <v>31</v>
      </c>
      <c r="M2" s="2">
        <v>2</v>
      </c>
      <c r="N2" s="2">
        <v>5.0999999999999996</v>
      </c>
    </row>
    <row r="3" spans="1:14" x14ac:dyDescent="0.55000000000000004">
      <c r="A3" s="1">
        <v>242</v>
      </c>
      <c r="B3" s="1">
        <v>201</v>
      </c>
      <c r="C3" s="1">
        <v>118</v>
      </c>
      <c r="D3" s="1">
        <v>146</v>
      </c>
      <c r="E3" s="1">
        <v>118</v>
      </c>
      <c r="F3" s="1">
        <v>5.33E-2</v>
      </c>
      <c r="G3" s="1">
        <v>299.74</v>
      </c>
      <c r="H3" s="1">
        <v>0.1</v>
      </c>
      <c r="I3" s="1">
        <v>45</v>
      </c>
      <c r="J3" s="1">
        <v>8</v>
      </c>
      <c r="K3" s="1">
        <v>5470</v>
      </c>
      <c r="L3" s="1">
        <v>29</v>
      </c>
      <c r="M3" s="2">
        <v>1</v>
      </c>
      <c r="N3" s="2">
        <v>4.9000000000000004</v>
      </c>
    </row>
    <row r="4" spans="1:14" x14ac:dyDescent="0.55000000000000004">
      <c r="A4" s="1">
        <v>340</v>
      </c>
      <c r="B4" s="1">
        <v>232</v>
      </c>
      <c r="C4" s="1">
        <v>144</v>
      </c>
      <c r="D4" s="1">
        <v>104</v>
      </c>
      <c r="E4" s="1">
        <v>101</v>
      </c>
      <c r="F4" s="1">
        <v>2.93E-2</v>
      </c>
      <c r="G4" s="1">
        <v>299.89999999999998</v>
      </c>
      <c r="H4" s="1">
        <v>0.1</v>
      </c>
      <c r="I4" s="1">
        <v>49</v>
      </c>
      <c r="J4" s="1">
        <v>18</v>
      </c>
      <c r="K4" s="1">
        <v>5640</v>
      </c>
      <c r="L4" s="1">
        <v>19</v>
      </c>
      <c r="M4" s="2">
        <v>1</v>
      </c>
      <c r="N4" s="2">
        <v>4.7</v>
      </c>
    </row>
    <row r="5" spans="1:14" x14ac:dyDescent="0.55000000000000004">
      <c r="A5" s="1">
        <v>388</v>
      </c>
      <c r="B5" s="1">
        <v>312</v>
      </c>
      <c r="C5" s="1">
        <v>133</v>
      </c>
      <c r="D5" s="1">
        <v>119</v>
      </c>
      <c r="E5" s="1">
        <v>85</v>
      </c>
      <c r="F5" s="1">
        <v>2.46E-2</v>
      </c>
      <c r="G5" s="1">
        <v>300.07</v>
      </c>
      <c r="H5" s="1">
        <v>0.2</v>
      </c>
      <c r="I5" s="1">
        <v>55</v>
      </c>
      <c r="J5" s="1">
        <v>24</v>
      </c>
      <c r="K5" s="1">
        <v>6180</v>
      </c>
      <c r="L5" s="1">
        <v>18</v>
      </c>
      <c r="M5" s="2">
        <v>0</v>
      </c>
      <c r="N5" s="2">
        <v>4.5999999999999996</v>
      </c>
    </row>
    <row r="6" spans="1:14" x14ac:dyDescent="0.55000000000000004">
      <c r="A6" s="1">
        <v>296</v>
      </c>
      <c r="B6" s="1">
        <v>220</v>
      </c>
      <c r="C6" s="1">
        <v>132</v>
      </c>
      <c r="D6" s="1">
        <v>124</v>
      </c>
      <c r="E6" s="1">
        <v>107</v>
      </c>
      <c r="F6" s="1">
        <v>0.02</v>
      </c>
      <c r="G6" s="1">
        <v>299.93</v>
      </c>
      <c r="H6" s="1">
        <v>0.2</v>
      </c>
      <c r="I6" s="1">
        <v>58</v>
      </c>
      <c r="J6" s="1">
        <v>60</v>
      </c>
      <c r="K6" s="1">
        <v>6390</v>
      </c>
      <c r="L6" s="1">
        <v>31</v>
      </c>
      <c r="M6" s="2">
        <v>2</v>
      </c>
      <c r="N6" s="2">
        <v>5</v>
      </c>
    </row>
    <row r="7" spans="1:14" x14ac:dyDescent="0.55000000000000004">
      <c r="A7" s="1">
        <v>254</v>
      </c>
      <c r="B7" s="1">
        <v>256</v>
      </c>
      <c r="C7" s="1">
        <v>111</v>
      </c>
      <c r="D7" s="1">
        <v>161</v>
      </c>
      <c r="E7" s="1">
        <v>132</v>
      </c>
      <c r="F7" s="1">
        <v>1.9400000000000001E-2</v>
      </c>
      <c r="G7" s="1">
        <v>299.85000000000002</v>
      </c>
      <c r="H7" s="1">
        <v>0.2</v>
      </c>
      <c r="I7" s="1">
        <v>59</v>
      </c>
      <c r="J7" s="1">
        <v>84</v>
      </c>
      <c r="K7" s="1">
        <v>6515</v>
      </c>
      <c r="L7" s="1">
        <v>28</v>
      </c>
      <c r="M7" s="2">
        <v>1</v>
      </c>
      <c r="N7" s="2">
        <v>5.4</v>
      </c>
    </row>
    <row r="8" spans="1:14" x14ac:dyDescent="0.55000000000000004">
      <c r="A8" s="1">
        <v>391</v>
      </c>
      <c r="B8" s="1">
        <v>328</v>
      </c>
      <c r="C8" s="1">
        <v>149</v>
      </c>
      <c r="D8" s="1">
        <v>107</v>
      </c>
      <c r="E8" s="1">
        <v>94</v>
      </c>
      <c r="F8" s="1">
        <v>1.9099999999999999E-2</v>
      </c>
      <c r="G8" s="1">
        <v>299.95</v>
      </c>
      <c r="H8" s="1">
        <v>0.2</v>
      </c>
      <c r="I8" s="1">
        <v>60</v>
      </c>
      <c r="J8" s="1">
        <v>96</v>
      </c>
      <c r="K8" s="1">
        <v>6805</v>
      </c>
      <c r="L8" s="1">
        <v>34</v>
      </c>
      <c r="M8" s="2">
        <v>0</v>
      </c>
      <c r="N8" s="2">
        <v>4.5999999999999996</v>
      </c>
    </row>
    <row r="9" spans="1:14" x14ac:dyDescent="0.55000000000000004">
      <c r="A9" s="1">
        <v>402</v>
      </c>
      <c r="B9" s="1">
        <v>330</v>
      </c>
      <c r="C9" s="1">
        <v>139</v>
      </c>
      <c r="D9" s="1">
        <v>83</v>
      </c>
      <c r="F9" s="1">
        <v>1.7999999999999999E-2</v>
      </c>
      <c r="G9" s="1">
        <v>299.98</v>
      </c>
      <c r="H9" s="1">
        <v>0.2</v>
      </c>
      <c r="I9" s="1">
        <v>62</v>
      </c>
      <c r="J9" s="1"/>
      <c r="K9" s="1">
        <v>7515</v>
      </c>
      <c r="L9" s="1">
        <v>27</v>
      </c>
      <c r="M9" s="2">
        <v>2</v>
      </c>
      <c r="N9" s="2">
        <v>5</v>
      </c>
    </row>
    <row r="10" spans="1:14" x14ac:dyDescent="0.55000000000000004">
      <c r="A10" s="1">
        <v>290</v>
      </c>
      <c r="B10" s="1">
        <v>231</v>
      </c>
      <c r="C10" s="1">
        <v>136</v>
      </c>
      <c r="D10" s="1">
        <v>113</v>
      </c>
      <c r="F10" s="1">
        <v>1.72E-2</v>
      </c>
      <c r="G10" s="1">
        <v>299.98</v>
      </c>
      <c r="H10" s="1">
        <v>0.2</v>
      </c>
      <c r="I10" s="1">
        <v>86</v>
      </c>
      <c r="J10" s="1"/>
      <c r="K10" s="1">
        <v>7515</v>
      </c>
      <c r="L10" s="1">
        <v>34</v>
      </c>
      <c r="M10" s="2">
        <v>3</v>
      </c>
      <c r="N10" s="2">
        <v>4.4000000000000004</v>
      </c>
    </row>
    <row r="11" spans="1:14" x14ac:dyDescent="0.55000000000000004">
      <c r="C11" s="1">
        <v>126</v>
      </c>
      <c r="D11" s="1">
        <v>129</v>
      </c>
      <c r="F11" s="1">
        <v>1.32E-2</v>
      </c>
      <c r="G11" s="1">
        <v>299.88</v>
      </c>
      <c r="H11" s="1">
        <v>0.2</v>
      </c>
      <c r="K11" s="1">
        <v>8230</v>
      </c>
      <c r="L11" s="1">
        <v>30</v>
      </c>
      <c r="M11" s="2">
        <v>1</v>
      </c>
      <c r="N11" s="2">
        <v>4.9000000000000004</v>
      </c>
    </row>
    <row r="12" spans="1:14" x14ac:dyDescent="0.55000000000000004">
      <c r="C12" s="1">
        <v>127</v>
      </c>
      <c r="D12" s="1">
        <v>97</v>
      </c>
      <c r="F12" s="1">
        <v>1.0200000000000001E-2</v>
      </c>
      <c r="G12" s="1">
        <v>300</v>
      </c>
      <c r="H12" s="1">
        <v>0.3</v>
      </c>
      <c r="K12" s="1">
        <v>8770</v>
      </c>
      <c r="L12" s="1">
        <v>16</v>
      </c>
      <c r="M12" s="2">
        <v>0</v>
      </c>
      <c r="N12" s="2">
        <v>5.4</v>
      </c>
    </row>
    <row r="13" spans="1:14" x14ac:dyDescent="0.55000000000000004">
      <c r="C13" s="1">
        <v>115</v>
      </c>
      <c r="D13" s="1">
        <v>123</v>
      </c>
      <c r="F13" s="1">
        <v>8.3999999999999995E-3</v>
      </c>
      <c r="G13" s="1">
        <v>299.98</v>
      </c>
      <c r="H13" s="1">
        <v>0.3</v>
      </c>
      <c r="L13" s="1">
        <v>18</v>
      </c>
      <c r="M13" s="2">
        <v>1</v>
      </c>
      <c r="N13" s="2">
        <v>4.8</v>
      </c>
    </row>
    <row r="14" spans="1:14" x14ac:dyDescent="0.55000000000000004">
      <c r="C14" s="1">
        <v>142</v>
      </c>
      <c r="F14" s="1">
        <v>7.7000000000000002E-3</v>
      </c>
      <c r="G14" s="1">
        <v>299.93</v>
      </c>
      <c r="H14" s="1">
        <v>0.3</v>
      </c>
      <c r="L14" s="1">
        <v>26</v>
      </c>
      <c r="M14" s="2">
        <v>2</v>
      </c>
      <c r="N14" s="2">
        <v>4.8</v>
      </c>
    </row>
    <row r="15" spans="1:14" x14ac:dyDescent="0.55000000000000004">
      <c r="C15" s="1">
        <v>140</v>
      </c>
      <c r="F15" s="1">
        <v>5.7999999999999996E-3</v>
      </c>
      <c r="G15" s="1">
        <v>299.64999999999998</v>
      </c>
      <c r="H15" s="1">
        <v>0.3</v>
      </c>
      <c r="L15" s="1">
        <v>27</v>
      </c>
      <c r="M15" s="2">
        <v>2</v>
      </c>
      <c r="N15" s="2">
        <v>4.3</v>
      </c>
    </row>
    <row r="16" spans="1:14" x14ac:dyDescent="0.55000000000000004">
      <c r="C16" s="1">
        <v>131</v>
      </c>
      <c r="F16" s="1">
        <v>1.6000000000000001E-3</v>
      </c>
      <c r="G16" s="1">
        <v>299.76</v>
      </c>
      <c r="H16" s="1">
        <v>0.3</v>
      </c>
      <c r="L16" s="1">
        <v>27</v>
      </c>
      <c r="M16" s="2">
        <v>1</v>
      </c>
      <c r="N16" s="2">
        <v>5.8</v>
      </c>
    </row>
    <row r="17" spans="3:14" x14ac:dyDescent="0.55000000000000004">
      <c r="C17" s="1">
        <v>132</v>
      </c>
      <c r="F17" s="1">
        <v>0</v>
      </c>
      <c r="G17" s="1">
        <v>299.81</v>
      </c>
      <c r="H17" s="1">
        <v>0.3</v>
      </c>
      <c r="L17" s="1">
        <v>18</v>
      </c>
      <c r="M17" s="2">
        <v>0</v>
      </c>
      <c r="N17" s="2">
        <v>5.7</v>
      </c>
    </row>
    <row r="18" spans="3:14" x14ac:dyDescent="0.55000000000000004">
      <c r="C18" s="1">
        <v>122</v>
      </c>
      <c r="F18" s="1">
        <v>-2.5999999999999999E-3</v>
      </c>
      <c r="G18" s="1">
        <v>300</v>
      </c>
      <c r="H18" s="1">
        <v>0.3</v>
      </c>
      <c r="L18" s="1">
        <v>24</v>
      </c>
      <c r="M18" s="2">
        <v>0</v>
      </c>
      <c r="N18" s="2">
        <v>5.4</v>
      </c>
    </row>
    <row r="19" spans="3:14" x14ac:dyDescent="0.55000000000000004">
      <c r="C19" s="1">
        <v>119</v>
      </c>
      <c r="F19" s="1">
        <v>-3.5999999999999999E-3</v>
      </c>
      <c r="G19" s="1">
        <v>300</v>
      </c>
      <c r="H19" s="1">
        <v>0.3</v>
      </c>
      <c r="L19" s="1">
        <v>22</v>
      </c>
      <c r="M19" s="2">
        <v>1</v>
      </c>
      <c r="N19" s="2">
        <v>5.0999999999999996</v>
      </c>
    </row>
    <row r="20" spans="3:14" x14ac:dyDescent="0.55000000000000004">
      <c r="C20" s="1">
        <v>129</v>
      </c>
      <c r="F20" s="1">
        <v>-4.1999999999999997E-3</v>
      </c>
      <c r="G20" s="1">
        <v>299.95999999999998</v>
      </c>
      <c r="H20" s="1">
        <v>0.3</v>
      </c>
      <c r="L20" s="1">
        <v>28</v>
      </c>
      <c r="M20" s="2">
        <v>1</v>
      </c>
      <c r="N20" s="2">
        <v>5.7</v>
      </c>
    </row>
    <row r="21" spans="3:14" x14ac:dyDescent="0.55000000000000004">
      <c r="C21" s="1">
        <v>128</v>
      </c>
      <c r="F21" s="1">
        <v>-1.14E-2</v>
      </c>
      <c r="G21" s="1">
        <v>299.95999999999998</v>
      </c>
      <c r="H21" s="1">
        <v>0.3</v>
      </c>
      <c r="L21" s="1">
        <v>24</v>
      </c>
      <c r="M21" s="2">
        <v>2</v>
      </c>
      <c r="N21" s="2">
        <v>5.0999999999999996</v>
      </c>
    </row>
    <row r="22" spans="3:14" x14ac:dyDescent="0.55000000000000004">
      <c r="F22" s="1">
        <v>-1.3899999999999999E-2</v>
      </c>
      <c r="G22" s="1">
        <v>299.95999999999998</v>
      </c>
      <c r="H22" s="1">
        <v>0.3</v>
      </c>
      <c r="L22" s="1">
        <v>21</v>
      </c>
      <c r="M22" s="2">
        <v>2</v>
      </c>
      <c r="N22" s="2">
        <v>5.4</v>
      </c>
    </row>
    <row r="23" spans="3:14" x14ac:dyDescent="0.55000000000000004">
      <c r="F23" s="1">
        <v>-2.2200000000000001E-2</v>
      </c>
      <c r="G23" s="1">
        <v>299.94</v>
      </c>
      <c r="H23" s="1">
        <v>0.3</v>
      </c>
      <c r="L23" s="1">
        <v>17</v>
      </c>
      <c r="M23" s="2">
        <v>1</v>
      </c>
      <c r="N23" s="2">
        <v>5.0999999999999996</v>
      </c>
    </row>
    <row r="24" spans="3:14" x14ac:dyDescent="0.55000000000000004">
      <c r="F24" s="1">
        <v>-3.3300000000000003E-2</v>
      </c>
      <c r="G24" s="1">
        <v>299.95999999999998</v>
      </c>
      <c r="H24" s="1">
        <v>0.3</v>
      </c>
      <c r="L24" s="1">
        <v>24</v>
      </c>
      <c r="M24" s="2">
        <v>1</v>
      </c>
      <c r="N24" s="2">
        <v>4.5999999999999996</v>
      </c>
    </row>
    <row r="25" spans="3:14" x14ac:dyDescent="0.55000000000000004">
      <c r="F25" s="1">
        <v>-3.4799999999999998E-2</v>
      </c>
      <c r="G25" s="1">
        <v>299.94</v>
      </c>
      <c r="H25" s="1">
        <v>0.3</v>
      </c>
      <c r="N25" s="2">
        <v>5.0999999999999996</v>
      </c>
    </row>
    <row r="26" spans="3:14" x14ac:dyDescent="0.55000000000000004">
      <c r="F26" s="1">
        <v>-3.6299999999999999E-2</v>
      </c>
      <c r="G26" s="1">
        <v>299.88</v>
      </c>
      <c r="H26" s="1">
        <v>0.3</v>
      </c>
      <c r="N26" s="2">
        <v>4.8</v>
      </c>
    </row>
    <row r="27" spans="3:14" x14ac:dyDescent="0.55000000000000004">
      <c r="F27" s="1">
        <v>-3.6299999999999999E-2</v>
      </c>
      <c r="G27" s="1">
        <v>299.8</v>
      </c>
      <c r="H27" s="1">
        <v>0.3</v>
      </c>
      <c r="N27" s="2">
        <v>5</v>
      </c>
    </row>
    <row r="28" spans="3:14" x14ac:dyDescent="0.55000000000000004">
      <c r="F28" s="1">
        <v>-4.02E-2</v>
      </c>
      <c r="G28" s="1">
        <v>299.85000000000002</v>
      </c>
      <c r="H28" s="1">
        <v>0.3</v>
      </c>
      <c r="N28" s="2">
        <v>5</v>
      </c>
    </row>
    <row r="29" spans="3:14" x14ac:dyDescent="0.55000000000000004">
      <c r="F29" s="1">
        <v>-5.8299999999999998E-2</v>
      </c>
      <c r="G29" s="1">
        <v>299.88</v>
      </c>
      <c r="H29" s="1">
        <v>0.3</v>
      </c>
      <c r="N29" s="2">
        <v>5.2</v>
      </c>
    </row>
    <row r="30" spans="3:14" x14ac:dyDescent="0.55000000000000004">
      <c r="F30" s="1">
        <v>-0.11840000000000001</v>
      </c>
      <c r="G30" s="1">
        <v>299.89999999999998</v>
      </c>
      <c r="H30" s="1">
        <v>0.3</v>
      </c>
      <c r="N30" s="2">
        <v>5.2</v>
      </c>
    </row>
    <row r="31" spans="3:14" x14ac:dyDescent="0.55000000000000004">
      <c r="F31" s="1">
        <v>-0.14199999999999999</v>
      </c>
      <c r="G31" s="1">
        <v>299.83999999999997</v>
      </c>
      <c r="H31" s="1">
        <v>0.4</v>
      </c>
      <c r="N31" s="2">
        <v>4.7</v>
      </c>
    </row>
    <row r="32" spans="3:14" x14ac:dyDescent="0.55000000000000004">
      <c r="G32" s="1">
        <v>299.83</v>
      </c>
      <c r="H32" s="1">
        <v>0.4</v>
      </c>
      <c r="N32" s="2">
        <v>4.8</v>
      </c>
    </row>
    <row r="33" spans="7:14" x14ac:dyDescent="0.55000000000000004">
      <c r="G33" s="1">
        <v>299.79000000000002</v>
      </c>
      <c r="H33" s="1">
        <v>0.4</v>
      </c>
      <c r="N33" s="2">
        <v>5.4</v>
      </c>
    </row>
    <row r="34" spans="7:14" x14ac:dyDescent="0.55000000000000004">
      <c r="G34" s="1">
        <v>299.81</v>
      </c>
      <c r="H34" s="1">
        <v>0.4</v>
      </c>
      <c r="N34" s="2">
        <v>5.2</v>
      </c>
    </row>
    <row r="35" spans="7:14" x14ac:dyDescent="0.55000000000000004">
      <c r="G35" s="1">
        <v>299.88</v>
      </c>
      <c r="H35" s="1">
        <v>0.4</v>
      </c>
      <c r="N35" s="2">
        <v>5.5</v>
      </c>
    </row>
    <row r="36" spans="7:14" x14ac:dyDescent="0.55000000000000004">
      <c r="G36" s="1">
        <v>299.88</v>
      </c>
      <c r="H36" s="1">
        <v>0.4</v>
      </c>
      <c r="N36" s="2">
        <v>4.9000000000000004</v>
      </c>
    </row>
    <row r="37" spans="7:14" x14ac:dyDescent="0.55000000000000004">
      <c r="G37" s="1">
        <v>299.83</v>
      </c>
      <c r="H37" s="1">
        <v>0.4</v>
      </c>
      <c r="N37" s="2">
        <v>5</v>
      </c>
    </row>
    <row r="38" spans="7:14" x14ac:dyDescent="0.55000000000000004">
      <c r="G38" s="1">
        <v>299.8</v>
      </c>
      <c r="H38" s="1">
        <v>0.4</v>
      </c>
      <c r="N38" s="2">
        <v>5.5</v>
      </c>
    </row>
    <row r="39" spans="7:14" x14ac:dyDescent="0.55000000000000004">
      <c r="G39" s="1">
        <v>299.79000000000002</v>
      </c>
      <c r="H39" s="1">
        <v>0.4</v>
      </c>
      <c r="N39" s="2">
        <v>4.9000000000000004</v>
      </c>
    </row>
    <row r="40" spans="7:14" x14ac:dyDescent="0.55000000000000004">
      <c r="G40" s="1">
        <v>299.76</v>
      </c>
      <c r="H40" s="1">
        <v>0.4</v>
      </c>
      <c r="N40" s="2">
        <v>4.4000000000000004</v>
      </c>
    </row>
    <row r="41" spans="7:14" x14ac:dyDescent="0.55000000000000004">
      <c r="G41" s="1">
        <v>299.8</v>
      </c>
      <c r="H41" s="1">
        <v>0.4</v>
      </c>
      <c r="N41" s="2">
        <v>5.0999999999999996</v>
      </c>
    </row>
    <row r="42" spans="7:14" x14ac:dyDescent="0.55000000000000004">
      <c r="G42" s="1">
        <v>299.88</v>
      </c>
      <c r="H42" s="1">
        <v>0.4</v>
      </c>
      <c r="N42" s="2">
        <v>5</v>
      </c>
    </row>
    <row r="43" spans="7:14" x14ac:dyDescent="0.55000000000000004">
      <c r="G43" s="1">
        <v>299.88</v>
      </c>
      <c r="H43" s="1">
        <v>0.4</v>
      </c>
      <c r="N43" s="2">
        <v>4.5</v>
      </c>
    </row>
    <row r="44" spans="7:14" x14ac:dyDescent="0.55000000000000004">
      <c r="G44" s="1">
        <v>299.88</v>
      </c>
      <c r="H44" s="1">
        <v>0.4</v>
      </c>
      <c r="N44" s="2">
        <v>4.4000000000000004</v>
      </c>
    </row>
    <row r="45" spans="7:14" x14ac:dyDescent="0.55000000000000004">
      <c r="G45" s="1">
        <v>299.86</v>
      </c>
      <c r="H45" s="1">
        <v>0.4</v>
      </c>
      <c r="N45" s="2">
        <v>5</v>
      </c>
    </row>
    <row r="46" spans="7:14" x14ac:dyDescent="0.55000000000000004">
      <c r="G46" s="1">
        <v>299.72000000000003</v>
      </c>
      <c r="H46" s="1">
        <v>0.4</v>
      </c>
      <c r="N46" s="2">
        <v>5.0999999999999996</v>
      </c>
    </row>
    <row r="47" spans="7:14" x14ac:dyDescent="0.55000000000000004">
      <c r="G47" s="1">
        <v>299.72000000000003</v>
      </c>
      <c r="H47" s="1">
        <v>0.4</v>
      </c>
      <c r="N47" s="2">
        <v>4.8</v>
      </c>
    </row>
    <row r="48" spans="7:14" x14ac:dyDescent="0.55000000000000004">
      <c r="G48" s="1">
        <v>299.62</v>
      </c>
      <c r="H48" s="1">
        <v>0.4</v>
      </c>
      <c r="N48" s="2">
        <v>5.0999999999999996</v>
      </c>
    </row>
    <row r="49" spans="7:14" x14ac:dyDescent="0.55000000000000004">
      <c r="G49" s="1">
        <v>299.86</v>
      </c>
      <c r="H49" s="1">
        <v>0.4</v>
      </c>
      <c r="N49" s="2">
        <v>4.5999999999999996</v>
      </c>
    </row>
    <row r="50" spans="7:14" x14ac:dyDescent="0.55000000000000004">
      <c r="G50" s="1">
        <v>299.97000000000003</v>
      </c>
      <c r="H50" s="1">
        <v>0.4</v>
      </c>
      <c r="N50" s="2">
        <v>5.3</v>
      </c>
    </row>
    <row r="51" spans="7:14" x14ac:dyDescent="0.55000000000000004">
      <c r="G51" s="1">
        <v>299.95</v>
      </c>
      <c r="H51" s="1">
        <v>0.4</v>
      </c>
      <c r="N51" s="2">
        <v>5</v>
      </c>
    </row>
    <row r="52" spans="7:14" x14ac:dyDescent="0.55000000000000004">
      <c r="G52" s="1">
        <v>299.88</v>
      </c>
      <c r="H52" s="1">
        <v>0.4</v>
      </c>
    </row>
    <row r="53" spans="7:14" x14ac:dyDescent="0.55000000000000004">
      <c r="G53" s="1">
        <v>299.91000000000003</v>
      </c>
      <c r="H53" s="1">
        <v>0.4</v>
      </c>
    </row>
    <row r="54" spans="7:14" x14ac:dyDescent="0.55000000000000004">
      <c r="G54" s="1">
        <v>299.85000000000002</v>
      </c>
      <c r="H54" s="1">
        <v>0.4</v>
      </c>
    </row>
    <row r="55" spans="7:14" x14ac:dyDescent="0.55000000000000004">
      <c r="G55" s="1">
        <v>299.87</v>
      </c>
      <c r="H55" s="1">
        <v>0.4</v>
      </c>
    </row>
    <row r="56" spans="7:14" x14ac:dyDescent="0.55000000000000004">
      <c r="G56" s="1">
        <v>299.83999999999997</v>
      </c>
      <c r="H56" s="1">
        <v>0.4</v>
      </c>
    </row>
    <row r="57" spans="7:14" x14ac:dyDescent="0.55000000000000004">
      <c r="G57" s="1">
        <v>299.83999999999997</v>
      </c>
      <c r="H57" s="1">
        <v>0.4</v>
      </c>
    </row>
    <row r="58" spans="7:14" x14ac:dyDescent="0.55000000000000004">
      <c r="G58" s="1">
        <v>299.85000000000002</v>
      </c>
      <c r="H58" s="1">
        <v>0.5</v>
      </c>
    </row>
    <row r="59" spans="7:14" x14ac:dyDescent="0.55000000000000004">
      <c r="G59" s="1">
        <v>299.83999999999997</v>
      </c>
      <c r="H59" s="1">
        <v>0.5</v>
      </c>
    </row>
    <row r="60" spans="7:14" x14ac:dyDescent="0.55000000000000004">
      <c r="G60" s="1">
        <v>299.83999999999997</v>
      </c>
      <c r="H60" s="1">
        <v>0.5</v>
      </c>
    </row>
    <row r="61" spans="7:14" x14ac:dyDescent="0.55000000000000004">
      <c r="G61" s="1">
        <v>299.83999999999997</v>
      </c>
      <c r="H61" s="1">
        <v>0.5</v>
      </c>
    </row>
    <row r="62" spans="7:14" x14ac:dyDescent="0.55000000000000004">
      <c r="G62" s="1">
        <v>299.89</v>
      </c>
      <c r="H62" s="1">
        <v>0.5</v>
      </c>
    </row>
    <row r="63" spans="7:14" x14ac:dyDescent="0.55000000000000004">
      <c r="G63" s="1">
        <v>299.81</v>
      </c>
      <c r="H63" s="1">
        <v>0.5</v>
      </c>
    </row>
    <row r="64" spans="7:14" x14ac:dyDescent="0.55000000000000004">
      <c r="G64" s="1">
        <v>299.81</v>
      </c>
      <c r="H64" s="1">
        <v>0.5</v>
      </c>
    </row>
    <row r="65" spans="7:8" x14ac:dyDescent="0.55000000000000004">
      <c r="G65" s="1">
        <v>299.82</v>
      </c>
      <c r="H65" s="1">
        <v>0.5</v>
      </c>
    </row>
    <row r="66" spans="7:8" x14ac:dyDescent="0.55000000000000004">
      <c r="G66" s="1">
        <v>299.8</v>
      </c>
      <c r="H66" s="1">
        <v>0.5</v>
      </c>
    </row>
    <row r="67" spans="7:8" x14ac:dyDescent="0.55000000000000004">
      <c r="G67" s="1">
        <v>299.77</v>
      </c>
      <c r="H67" s="1">
        <v>0.5</v>
      </c>
    </row>
    <row r="68" spans="7:8" x14ac:dyDescent="0.55000000000000004">
      <c r="G68" s="1">
        <v>299.76</v>
      </c>
      <c r="H68" s="1">
        <v>0.5</v>
      </c>
    </row>
    <row r="69" spans="7:8" x14ac:dyDescent="0.55000000000000004">
      <c r="G69" s="1">
        <v>299.74</v>
      </c>
      <c r="H69" s="1">
        <v>0.5</v>
      </c>
    </row>
    <row r="70" spans="7:8" x14ac:dyDescent="0.55000000000000004">
      <c r="G70" s="1">
        <v>299.75</v>
      </c>
      <c r="H70" s="1">
        <v>0.5</v>
      </c>
    </row>
    <row r="71" spans="7:8" x14ac:dyDescent="0.55000000000000004">
      <c r="G71" s="1">
        <v>299.76</v>
      </c>
      <c r="H71" s="1">
        <v>0.5</v>
      </c>
    </row>
    <row r="72" spans="7:8" x14ac:dyDescent="0.55000000000000004">
      <c r="G72" s="1">
        <v>299.91000000000003</v>
      </c>
      <c r="H72" s="1">
        <v>0.5</v>
      </c>
    </row>
    <row r="73" spans="7:8" x14ac:dyDescent="0.55000000000000004">
      <c r="G73" s="1">
        <v>299.92</v>
      </c>
      <c r="H73" s="1">
        <v>0.5</v>
      </c>
    </row>
    <row r="74" spans="7:8" x14ac:dyDescent="0.55000000000000004">
      <c r="G74" s="1">
        <v>299.89</v>
      </c>
      <c r="H74" s="1">
        <v>0.5</v>
      </c>
    </row>
    <row r="75" spans="7:8" x14ac:dyDescent="0.55000000000000004">
      <c r="G75" s="1">
        <v>299.86</v>
      </c>
      <c r="H75" s="1">
        <v>0.5</v>
      </c>
    </row>
    <row r="76" spans="7:8" x14ac:dyDescent="0.55000000000000004">
      <c r="G76" s="1">
        <v>299.88</v>
      </c>
      <c r="H76" s="1">
        <v>0.5</v>
      </c>
    </row>
    <row r="77" spans="7:8" x14ac:dyDescent="0.55000000000000004">
      <c r="G77" s="1">
        <v>299.72000000000003</v>
      </c>
      <c r="H77" s="1">
        <v>0.5</v>
      </c>
    </row>
    <row r="78" spans="7:8" x14ac:dyDescent="0.55000000000000004">
      <c r="G78" s="1">
        <v>299.83999999999997</v>
      </c>
      <c r="H78" s="1">
        <v>0.5</v>
      </c>
    </row>
    <row r="79" spans="7:8" x14ac:dyDescent="0.55000000000000004">
      <c r="G79" s="1">
        <v>299.85000000000002</v>
      </c>
      <c r="H79" s="1">
        <v>0.5</v>
      </c>
    </row>
    <row r="80" spans="7:8" x14ac:dyDescent="0.55000000000000004">
      <c r="G80" s="1">
        <v>299.85000000000002</v>
      </c>
      <c r="H80" s="1">
        <v>0.5</v>
      </c>
    </row>
    <row r="81" spans="7:8" x14ac:dyDescent="0.55000000000000004">
      <c r="G81" s="1">
        <v>299.77999999999997</v>
      </c>
      <c r="H81" s="1">
        <v>0.5</v>
      </c>
    </row>
    <row r="82" spans="7:8" x14ac:dyDescent="0.55000000000000004">
      <c r="G82" s="1">
        <v>299.89</v>
      </c>
      <c r="H82" s="1">
        <v>0.5</v>
      </c>
    </row>
    <row r="83" spans="7:8" x14ac:dyDescent="0.55000000000000004">
      <c r="G83" s="1">
        <v>299.83999999999997</v>
      </c>
      <c r="H83" s="1">
        <v>0.5</v>
      </c>
    </row>
    <row r="84" spans="7:8" x14ac:dyDescent="0.55000000000000004">
      <c r="G84" s="1">
        <v>299.77999999999997</v>
      </c>
      <c r="H84" s="1">
        <v>0.5</v>
      </c>
    </row>
    <row r="85" spans="7:8" x14ac:dyDescent="0.55000000000000004">
      <c r="G85" s="1">
        <v>299.81</v>
      </c>
      <c r="H85" s="1">
        <v>0.5</v>
      </c>
    </row>
    <row r="86" spans="7:8" x14ac:dyDescent="0.55000000000000004">
      <c r="G86" s="1">
        <v>299.76</v>
      </c>
      <c r="H86" s="1">
        <v>0.5</v>
      </c>
    </row>
    <row r="87" spans="7:8" x14ac:dyDescent="0.55000000000000004">
      <c r="G87" s="1">
        <v>299.81</v>
      </c>
      <c r="H87" s="1">
        <v>0.5</v>
      </c>
    </row>
    <row r="88" spans="7:8" x14ac:dyDescent="0.55000000000000004">
      <c r="G88" s="1">
        <v>299.79000000000002</v>
      </c>
      <c r="H88" s="1">
        <v>0.5</v>
      </c>
    </row>
    <row r="89" spans="7:8" x14ac:dyDescent="0.55000000000000004">
      <c r="G89" s="1">
        <v>299.81</v>
      </c>
      <c r="H89" s="1">
        <v>0.5</v>
      </c>
    </row>
    <row r="90" spans="7:8" x14ac:dyDescent="0.55000000000000004">
      <c r="G90" s="1">
        <v>299.82</v>
      </c>
      <c r="H90" s="1">
        <v>0.6</v>
      </c>
    </row>
    <row r="91" spans="7:8" x14ac:dyDescent="0.55000000000000004">
      <c r="G91" s="1">
        <v>299.85000000000002</v>
      </c>
      <c r="H91" s="1">
        <v>0.6</v>
      </c>
    </row>
    <row r="92" spans="7:8" x14ac:dyDescent="0.55000000000000004">
      <c r="G92" s="1">
        <v>299.87</v>
      </c>
      <c r="H92" s="1">
        <v>0.6</v>
      </c>
    </row>
    <row r="93" spans="7:8" x14ac:dyDescent="0.55000000000000004">
      <c r="G93" s="1">
        <v>299.87</v>
      </c>
      <c r="H93" s="1">
        <v>0.6</v>
      </c>
    </row>
    <row r="94" spans="7:8" x14ac:dyDescent="0.55000000000000004">
      <c r="G94" s="1">
        <v>299.81</v>
      </c>
      <c r="H94" s="1">
        <v>0.6</v>
      </c>
    </row>
    <row r="95" spans="7:8" x14ac:dyDescent="0.55000000000000004">
      <c r="G95" s="1">
        <v>299.74</v>
      </c>
      <c r="H95" s="1">
        <v>0.6</v>
      </c>
    </row>
    <row r="96" spans="7:8" x14ac:dyDescent="0.55000000000000004">
      <c r="G96" s="1">
        <v>299.81</v>
      </c>
      <c r="H96" s="1">
        <v>0.6</v>
      </c>
    </row>
    <row r="97" spans="7:8" x14ac:dyDescent="0.55000000000000004">
      <c r="G97" s="1">
        <v>299.94</v>
      </c>
      <c r="H97" s="1">
        <v>0.6</v>
      </c>
    </row>
    <row r="98" spans="7:8" x14ac:dyDescent="0.55000000000000004">
      <c r="G98" s="1">
        <v>299.95</v>
      </c>
      <c r="H98" s="1">
        <v>0.6</v>
      </c>
    </row>
    <row r="99" spans="7:8" x14ac:dyDescent="0.55000000000000004">
      <c r="G99" s="1">
        <v>299.8</v>
      </c>
      <c r="H99" s="1">
        <v>0.6</v>
      </c>
    </row>
    <row r="100" spans="7:8" x14ac:dyDescent="0.55000000000000004">
      <c r="G100" s="1">
        <v>299.81</v>
      </c>
      <c r="H100" s="1">
        <v>0.6</v>
      </c>
    </row>
    <row r="101" spans="7:8" x14ac:dyDescent="0.55000000000000004">
      <c r="G101" s="1">
        <v>299.87</v>
      </c>
      <c r="H101" s="1">
        <v>0.6</v>
      </c>
    </row>
    <row r="102" spans="7:8" x14ac:dyDescent="0.55000000000000004">
      <c r="H102" s="1">
        <v>0.6</v>
      </c>
    </row>
    <row r="103" spans="7:8" x14ac:dyDescent="0.55000000000000004">
      <c r="H103" s="1">
        <v>0.6</v>
      </c>
    </row>
    <row r="104" spans="7:8" x14ac:dyDescent="0.55000000000000004">
      <c r="H104" s="1">
        <v>0.6</v>
      </c>
    </row>
    <row r="105" spans="7:8" x14ac:dyDescent="0.55000000000000004">
      <c r="H105" s="1">
        <v>0.6</v>
      </c>
    </row>
    <row r="106" spans="7:8" x14ac:dyDescent="0.55000000000000004">
      <c r="H106" s="1">
        <v>0.6</v>
      </c>
    </row>
    <row r="107" spans="7:8" x14ac:dyDescent="0.55000000000000004">
      <c r="H107" s="1">
        <v>0.6</v>
      </c>
    </row>
    <row r="108" spans="7:8" x14ac:dyDescent="0.55000000000000004">
      <c r="H108" s="1">
        <v>0.6</v>
      </c>
    </row>
    <row r="109" spans="7:8" x14ac:dyDescent="0.55000000000000004">
      <c r="H109" s="1">
        <v>0.6</v>
      </c>
    </row>
    <row r="110" spans="7:8" x14ac:dyDescent="0.55000000000000004">
      <c r="H110" s="1">
        <v>0.6</v>
      </c>
    </row>
    <row r="111" spans="7:8" x14ac:dyDescent="0.55000000000000004">
      <c r="H111" s="1">
        <v>0.6</v>
      </c>
    </row>
    <row r="112" spans="7:8" x14ac:dyDescent="0.55000000000000004">
      <c r="H112" s="1">
        <v>0.6</v>
      </c>
    </row>
    <row r="113" spans="8:8" x14ac:dyDescent="0.55000000000000004">
      <c r="H113" s="1">
        <v>0.6</v>
      </c>
    </row>
    <row r="114" spans="8:8" x14ac:dyDescent="0.55000000000000004">
      <c r="H114" s="1">
        <v>0.6</v>
      </c>
    </row>
    <row r="115" spans="8:8" x14ac:dyDescent="0.55000000000000004">
      <c r="H115" s="1">
        <v>0.6</v>
      </c>
    </row>
    <row r="116" spans="8:8" x14ac:dyDescent="0.55000000000000004">
      <c r="H116" s="1">
        <v>0.6</v>
      </c>
    </row>
    <row r="117" spans="8:8" x14ac:dyDescent="0.55000000000000004">
      <c r="H117" s="1">
        <v>0.6</v>
      </c>
    </row>
    <row r="118" spans="8:8" x14ac:dyDescent="0.55000000000000004">
      <c r="H118" s="1">
        <v>0.6</v>
      </c>
    </row>
    <row r="119" spans="8:8" x14ac:dyDescent="0.55000000000000004">
      <c r="H119" s="1">
        <v>0.6</v>
      </c>
    </row>
    <row r="120" spans="8:8" x14ac:dyDescent="0.55000000000000004">
      <c r="H120" s="1">
        <v>0.6</v>
      </c>
    </row>
    <row r="121" spans="8:8" x14ac:dyDescent="0.55000000000000004">
      <c r="H121" s="1">
        <v>0.6</v>
      </c>
    </row>
    <row r="122" spans="8:8" x14ac:dyDescent="0.55000000000000004">
      <c r="H122" s="1">
        <v>0.6</v>
      </c>
    </row>
    <row r="123" spans="8:8" x14ac:dyDescent="0.55000000000000004">
      <c r="H123" s="1">
        <v>0.6</v>
      </c>
    </row>
    <row r="124" spans="8:8" x14ac:dyDescent="0.55000000000000004">
      <c r="H124" s="1">
        <v>0.6</v>
      </c>
    </row>
    <row r="125" spans="8:8" x14ac:dyDescent="0.55000000000000004">
      <c r="H125" s="1">
        <v>0.7</v>
      </c>
    </row>
    <row r="126" spans="8:8" x14ac:dyDescent="0.55000000000000004">
      <c r="H126" s="1">
        <v>0.7</v>
      </c>
    </row>
    <row r="127" spans="8:8" x14ac:dyDescent="0.55000000000000004">
      <c r="H127" s="1">
        <v>0.7</v>
      </c>
    </row>
    <row r="128" spans="8:8" x14ac:dyDescent="0.55000000000000004">
      <c r="H128" s="1">
        <v>0.7</v>
      </c>
    </row>
    <row r="129" spans="8:8" x14ac:dyDescent="0.55000000000000004">
      <c r="H129" s="1">
        <v>0.7</v>
      </c>
    </row>
    <row r="130" spans="8:8" x14ac:dyDescent="0.55000000000000004">
      <c r="H130" s="1">
        <v>0.7</v>
      </c>
    </row>
    <row r="131" spans="8:8" x14ac:dyDescent="0.55000000000000004">
      <c r="H131" s="1">
        <v>0.7</v>
      </c>
    </row>
    <row r="132" spans="8:8" x14ac:dyDescent="0.55000000000000004">
      <c r="H132" s="1">
        <v>0.7</v>
      </c>
    </row>
    <row r="133" spans="8:8" x14ac:dyDescent="0.55000000000000004">
      <c r="H133" s="1">
        <v>0.7</v>
      </c>
    </row>
    <row r="134" spans="8:8" x14ac:dyDescent="0.55000000000000004">
      <c r="H134" s="1">
        <v>0.7</v>
      </c>
    </row>
    <row r="135" spans="8:8" x14ac:dyDescent="0.55000000000000004">
      <c r="H135" s="1">
        <v>0.7</v>
      </c>
    </row>
    <row r="136" spans="8:8" x14ac:dyDescent="0.55000000000000004">
      <c r="H136" s="1">
        <v>0.7</v>
      </c>
    </row>
    <row r="137" spans="8:8" x14ac:dyDescent="0.55000000000000004">
      <c r="H137" s="1">
        <v>0.7</v>
      </c>
    </row>
    <row r="138" spans="8:8" x14ac:dyDescent="0.55000000000000004">
      <c r="H138" s="1">
        <v>0.7</v>
      </c>
    </row>
    <row r="139" spans="8:8" x14ac:dyDescent="0.55000000000000004">
      <c r="H139" s="1">
        <v>0.7</v>
      </c>
    </row>
    <row r="140" spans="8:8" x14ac:dyDescent="0.55000000000000004">
      <c r="H140" s="1">
        <v>0.7</v>
      </c>
    </row>
    <row r="141" spans="8:8" x14ac:dyDescent="0.55000000000000004">
      <c r="H141" s="1">
        <v>0.7</v>
      </c>
    </row>
    <row r="142" spans="8:8" x14ac:dyDescent="0.55000000000000004">
      <c r="H142" s="1">
        <v>0.7</v>
      </c>
    </row>
    <row r="143" spans="8:8" x14ac:dyDescent="0.55000000000000004">
      <c r="H143" s="1">
        <v>0.7</v>
      </c>
    </row>
    <row r="144" spans="8:8" x14ac:dyDescent="0.55000000000000004">
      <c r="H144" s="1">
        <v>0.7</v>
      </c>
    </row>
    <row r="145" spans="8:8" x14ac:dyDescent="0.55000000000000004">
      <c r="H145" s="1">
        <v>0.7</v>
      </c>
    </row>
    <row r="146" spans="8:8" x14ac:dyDescent="0.55000000000000004">
      <c r="H146" s="1">
        <v>0.7</v>
      </c>
    </row>
    <row r="147" spans="8:8" x14ac:dyDescent="0.55000000000000004">
      <c r="H147" s="1">
        <v>0.7</v>
      </c>
    </row>
    <row r="148" spans="8:8" x14ac:dyDescent="0.55000000000000004">
      <c r="H148" s="1">
        <v>0.7</v>
      </c>
    </row>
    <row r="149" spans="8:8" x14ac:dyDescent="0.55000000000000004">
      <c r="H149" s="1">
        <v>0.7</v>
      </c>
    </row>
    <row r="150" spans="8:8" x14ac:dyDescent="0.55000000000000004">
      <c r="H150" s="1">
        <v>0.7</v>
      </c>
    </row>
    <row r="151" spans="8:8" x14ac:dyDescent="0.55000000000000004">
      <c r="H151" s="1">
        <v>0.7</v>
      </c>
    </row>
    <row r="152" spans="8:8" x14ac:dyDescent="0.55000000000000004">
      <c r="H152" s="1">
        <v>0.7</v>
      </c>
    </row>
    <row r="153" spans="8:8" x14ac:dyDescent="0.55000000000000004">
      <c r="H153" s="1">
        <v>0.7</v>
      </c>
    </row>
    <row r="154" spans="8:8" x14ac:dyDescent="0.55000000000000004">
      <c r="H154" s="1">
        <v>0.7</v>
      </c>
    </row>
    <row r="155" spans="8:8" x14ac:dyDescent="0.55000000000000004">
      <c r="H155" s="1">
        <v>0.7</v>
      </c>
    </row>
    <row r="156" spans="8:8" x14ac:dyDescent="0.55000000000000004">
      <c r="H156" s="1">
        <v>0.7</v>
      </c>
    </row>
    <row r="157" spans="8:8" x14ac:dyDescent="0.55000000000000004">
      <c r="H157" s="1">
        <v>0.7</v>
      </c>
    </row>
    <row r="158" spans="8:8" x14ac:dyDescent="0.55000000000000004">
      <c r="H158" s="1">
        <v>0.7</v>
      </c>
    </row>
    <row r="159" spans="8:8" x14ac:dyDescent="0.55000000000000004">
      <c r="H159" s="1">
        <v>0.7</v>
      </c>
    </row>
    <row r="160" spans="8:8" x14ac:dyDescent="0.55000000000000004">
      <c r="H160" s="1">
        <v>0.7</v>
      </c>
    </row>
    <row r="161" spans="8:8" x14ac:dyDescent="0.55000000000000004">
      <c r="H161" s="1">
        <v>0.7</v>
      </c>
    </row>
    <row r="162" spans="8:8" x14ac:dyDescent="0.55000000000000004">
      <c r="H162" s="1">
        <v>0.7</v>
      </c>
    </row>
    <row r="163" spans="8:8" x14ac:dyDescent="0.55000000000000004">
      <c r="H163" s="1">
        <v>0.8</v>
      </c>
    </row>
    <row r="164" spans="8:8" x14ac:dyDescent="0.55000000000000004">
      <c r="H164" s="1">
        <v>0.8</v>
      </c>
    </row>
    <row r="165" spans="8:8" x14ac:dyDescent="0.55000000000000004">
      <c r="H165" s="1">
        <v>0.8</v>
      </c>
    </row>
    <row r="166" spans="8:8" x14ac:dyDescent="0.55000000000000004">
      <c r="H166" s="1">
        <v>0.8</v>
      </c>
    </row>
    <row r="167" spans="8:8" x14ac:dyDescent="0.55000000000000004">
      <c r="H167" s="1">
        <v>0.8</v>
      </c>
    </row>
    <row r="168" spans="8:8" x14ac:dyDescent="0.55000000000000004">
      <c r="H168" s="1">
        <v>0.8</v>
      </c>
    </row>
    <row r="169" spans="8:8" x14ac:dyDescent="0.55000000000000004">
      <c r="H169" s="1">
        <v>0.8</v>
      </c>
    </row>
    <row r="170" spans="8:8" x14ac:dyDescent="0.55000000000000004">
      <c r="H170" s="1">
        <v>0.8</v>
      </c>
    </row>
    <row r="171" spans="8:8" x14ac:dyDescent="0.55000000000000004">
      <c r="H171" s="1">
        <v>0.8</v>
      </c>
    </row>
    <row r="172" spans="8:8" x14ac:dyDescent="0.55000000000000004">
      <c r="H172" s="1">
        <v>0.8</v>
      </c>
    </row>
    <row r="173" spans="8:8" x14ac:dyDescent="0.55000000000000004">
      <c r="H173" s="1">
        <v>0.8</v>
      </c>
    </row>
    <row r="174" spans="8:8" x14ac:dyDescent="0.55000000000000004">
      <c r="H174" s="1">
        <v>0.8</v>
      </c>
    </row>
    <row r="175" spans="8:8" x14ac:dyDescent="0.55000000000000004">
      <c r="H175" s="1">
        <v>0.8</v>
      </c>
    </row>
    <row r="176" spans="8:8" x14ac:dyDescent="0.55000000000000004">
      <c r="H176" s="1">
        <v>0.8</v>
      </c>
    </row>
    <row r="177" spans="8:8" x14ac:dyDescent="0.55000000000000004">
      <c r="H177" s="1">
        <v>0.8</v>
      </c>
    </row>
    <row r="178" spans="8:8" x14ac:dyDescent="0.55000000000000004">
      <c r="H178" s="1">
        <v>0.8</v>
      </c>
    </row>
    <row r="179" spans="8:8" x14ac:dyDescent="0.55000000000000004">
      <c r="H179" s="1">
        <v>0.8</v>
      </c>
    </row>
    <row r="180" spans="8:8" x14ac:dyDescent="0.55000000000000004">
      <c r="H180" s="1">
        <v>0.8</v>
      </c>
    </row>
    <row r="181" spans="8:8" x14ac:dyDescent="0.55000000000000004">
      <c r="H181" s="1">
        <v>0.8</v>
      </c>
    </row>
    <row r="182" spans="8:8" x14ac:dyDescent="0.55000000000000004">
      <c r="H182" s="1">
        <v>0.8</v>
      </c>
    </row>
    <row r="183" spans="8:8" x14ac:dyDescent="0.55000000000000004">
      <c r="H183" s="1">
        <v>0.8</v>
      </c>
    </row>
    <row r="184" spans="8:8" x14ac:dyDescent="0.55000000000000004">
      <c r="H184" s="1">
        <v>0.8</v>
      </c>
    </row>
    <row r="185" spans="8:8" x14ac:dyDescent="0.55000000000000004">
      <c r="H185" s="1">
        <v>0.8</v>
      </c>
    </row>
    <row r="186" spans="8:8" x14ac:dyDescent="0.55000000000000004">
      <c r="H186" s="1">
        <v>0.8</v>
      </c>
    </row>
    <row r="187" spans="8:8" x14ac:dyDescent="0.55000000000000004">
      <c r="H187" s="1">
        <v>0.8</v>
      </c>
    </row>
    <row r="188" spans="8:8" x14ac:dyDescent="0.55000000000000004">
      <c r="H188" s="1">
        <v>0.8</v>
      </c>
    </row>
    <row r="189" spans="8:8" x14ac:dyDescent="0.55000000000000004">
      <c r="H189" s="1">
        <v>0.8</v>
      </c>
    </row>
    <row r="190" spans="8:8" x14ac:dyDescent="0.55000000000000004">
      <c r="H190" s="1">
        <v>0.8</v>
      </c>
    </row>
    <row r="191" spans="8:8" x14ac:dyDescent="0.55000000000000004">
      <c r="H191" s="1">
        <v>0.8</v>
      </c>
    </row>
    <row r="192" spans="8:8" x14ac:dyDescent="0.55000000000000004">
      <c r="H192" s="1">
        <v>0.8</v>
      </c>
    </row>
    <row r="193" spans="8:8" x14ac:dyDescent="0.55000000000000004">
      <c r="H193" s="1">
        <v>0.8</v>
      </c>
    </row>
    <row r="194" spans="8:8" x14ac:dyDescent="0.55000000000000004">
      <c r="H194" s="1">
        <v>0.8</v>
      </c>
    </row>
    <row r="195" spans="8:8" x14ac:dyDescent="0.55000000000000004">
      <c r="H195" s="1">
        <v>0.8</v>
      </c>
    </row>
    <row r="196" spans="8:8" x14ac:dyDescent="0.55000000000000004">
      <c r="H196" s="1">
        <v>0.8</v>
      </c>
    </row>
    <row r="197" spans="8:8" x14ac:dyDescent="0.55000000000000004">
      <c r="H197" s="1">
        <v>0.8</v>
      </c>
    </row>
    <row r="198" spans="8:8" x14ac:dyDescent="0.55000000000000004">
      <c r="H198" s="1">
        <v>0.8</v>
      </c>
    </row>
    <row r="199" spans="8:8" x14ac:dyDescent="0.55000000000000004">
      <c r="H199" s="1">
        <v>0.8</v>
      </c>
    </row>
    <row r="200" spans="8:8" x14ac:dyDescent="0.55000000000000004">
      <c r="H200" s="1">
        <v>0.8</v>
      </c>
    </row>
    <row r="201" spans="8:8" x14ac:dyDescent="0.55000000000000004">
      <c r="H201" s="1">
        <v>0.9</v>
      </c>
    </row>
    <row r="202" spans="8:8" x14ac:dyDescent="0.55000000000000004">
      <c r="H202" s="1">
        <v>0.9</v>
      </c>
    </row>
    <row r="203" spans="8:8" x14ac:dyDescent="0.55000000000000004">
      <c r="H203" s="1">
        <v>0.9</v>
      </c>
    </row>
    <row r="204" spans="8:8" x14ac:dyDescent="0.55000000000000004">
      <c r="H204" s="1">
        <v>0.9</v>
      </c>
    </row>
    <row r="205" spans="8:8" x14ac:dyDescent="0.55000000000000004">
      <c r="H205" s="1">
        <v>0.9</v>
      </c>
    </row>
    <row r="206" spans="8:8" x14ac:dyDescent="0.55000000000000004">
      <c r="H206" s="1">
        <v>0.9</v>
      </c>
    </row>
    <row r="207" spans="8:8" x14ac:dyDescent="0.55000000000000004">
      <c r="H207" s="1">
        <v>0.9</v>
      </c>
    </row>
    <row r="208" spans="8:8" x14ac:dyDescent="0.55000000000000004">
      <c r="H208" s="1">
        <v>0.9</v>
      </c>
    </row>
    <row r="209" spans="8:8" x14ac:dyDescent="0.55000000000000004">
      <c r="H209" s="1">
        <v>0.9</v>
      </c>
    </row>
    <row r="210" spans="8:8" x14ac:dyDescent="0.55000000000000004">
      <c r="H210" s="1">
        <v>0.9</v>
      </c>
    </row>
    <row r="211" spans="8:8" x14ac:dyDescent="0.55000000000000004">
      <c r="H211" s="1">
        <v>0.9</v>
      </c>
    </row>
    <row r="212" spans="8:8" x14ac:dyDescent="0.55000000000000004">
      <c r="H212" s="1">
        <v>0.9</v>
      </c>
    </row>
    <row r="213" spans="8:8" x14ac:dyDescent="0.55000000000000004">
      <c r="H213" s="1">
        <v>0.9</v>
      </c>
    </row>
    <row r="214" spans="8:8" x14ac:dyDescent="0.55000000000000004">
      <c r="H214" s="1">
        <v>0.9</v>
      </c>
    </row>
    <row r="215" spans="8:8" x14ac:dyDescent="0.55000000000000004">
      <c r="H215" s="1">
        <v>0.9</v>
      </c>
    </row>
    <row r="216" spans="8:8" x14ac:dyDescent="0.55000000000000004">
      <c r="H216" s="1">
        <v>0.9</v>
      </c>
    </row>
    <row r="217" spans="8:8" x14ac:dyDescent="0.55000000000000004">
      <c r="H217" s="1">
        <v>0.9</v>
      </c>
    </row>
    <row r="218" spans="8:8" x14ac:dyDescent="0.55000000000000004">
      <c r="H218" s="1">
        <v>0.9</v>
      </c>
    </row>
    <row r="219" spans="8:8" x14ac:dyDescent="0.55000000000000004">
      <c r="H219" s="1">
        <v>0.9</v>
      </c>
    </row>
    <row r="220" spans="8:8" x14ac:dyDescent="0.55000000000000004">
      <c r="H220" s="1">
        <v>0.9</v>
      </c>
    </row>
    <row r="221" spans="8:8" x14ac:dyDescent="0.55000000000000004">
      <c r="H221" s="1">
        <v>0.9</v>
      </c>
    </row>
    <row r="222" spans="8:8" x14ac:dyDescent="0.55000000000000004">
      <c r="H222" s="1">
        <v>0.9</v>
      </c>
    </row>
    <row r="223" spans="8:8" x14ac:dyDescent="0.55000000000000004">
      <c r="H223" s="1">
        <v>1</v>
      </c>
    </row>
    <row r="224" spans="8:8" x14ac:dyDescent="0.55000000000000004">
      <c r="H224" s="1">
        <v>1</v>
      </c>
    </row>
    <row r="225" spans="8:8" x14ac:dyDescent="0.55000000000000004">
      <c r="H225" s="1">
        <v>1</v>
      </c>
    </row>
    <row r="226" spans="8:8" x14ac:dyDescent="0.55000000000000004">
      <c r="H226" s="1">
        <v>1</v>
      </c>
    </row>
    <row r="227" spans="8:8" x14ac:dyDescent="0.55000000000000004">
      <c r="H227" s="1">
        <v>1</v>
      </c>
    </row>
    <row r="228" spans="8:8" x14ac:dyDescent="0.55000000000000004">
      <c r="H228" s="1">
        <v>1</v>
      </c>
    </row>
    <row r="229" spans="8:8" x14ac:dyDescent="0.55000000000000004">
      <c r="H229" s="1">
        <v>1</v>
      </c>
    </row>
    <row r="230" spans="8:8" x14ac:dyDescent="0.55000000000000004">
      <c r="H230" s="1">
        <v>1</v>
      </c>
    </row>
    <row r="231" spans="8:8" x14ac:dyDescent="0.55000000000000004">
      <c r="H231" s="1">
        <v>1</v>
      </c>
    </row>
    <row r="232" spans="8:8" x14ac:dyDescent="0.55000000000000004">
      <c r="H232" s="1">
        <v>1</v>
      </c>
    </row>
    <row r="233" spans="8:8" x14ac:dyDescent="0.55000000000000004">
      <c r="H233" s="1">
        <v>1</v>
      </c>
    </row>
    <row r="234" spans="8:8" x14ac:dyDescent="0.55000000000000004">
      <c r="H234" s="1">
        <v>1</v>
      </c>
    </row>
    <row r="235" spans="8:8" x14ac:dyDescent="0.55000000000000004">
      <c r="H235" s="1">
        <v>1</v>
      </c>
    </row>
    <row r="236" spans="8:8" x14ac:dyDescent="0.55000000000000004">
      <c r="H236" s="1">
        <v>1</v>
      </c>
    </row>
    <row r="237" spans="8:8" x14ac:dyDescent="0.55000000000000004">
      <c r="H237" s="1">
        <v>1</v>
      </c>
    </row>
    <row r="238" spans="8:8" x14ac:dyDescent="0.55000000000000004">
      <c r="H238" s="1">
        <v>1</v>
      </c>
    </row>
    <row r="239" spans="8:8" x14ac:dyDescent="0.55000000000000004">
      <c r="H239" s="1">
        <v>1.1000000000000001</v>
      </c>
    </row>
    <row r="240" spans="8:8" x14ac:dyDescent="0.55000000000000004">
      <c r="H240" s="1">
        <v>1.1000000000000001</v>
      </c>
    </row>
    <row r="241" spans="8:8" x14ac:dyDescent="0.55000000000000004">
      <c r="H241" s="1">
        <v>1.1000000000000001</v>
      </c>
    </row>
    <row r="242" spans="8:8" x14ac:dyDescent="0.55000000000000004">
      <c r="H242" s="1">
        <v>1.1000000000000001</v>
      </c>
    </row>
    <row r="243" spans="8:8" x14ac:dyDescent="0.55000000000000004">
      <c r="H243" s="1">
        <v>1.1000000000000001</v>
      </c>
    </row>
    <row r="244" spans="8:8" x14ac:dyDescent="0.55000000000000004">
      <c r="H244" s="1">
        <v>1.1000000000000001</v>
      </c>
    </row>
    <row r="245" spans="8:8" x14ac:dyDescent="0.55000000000000004">
      <c r="H245" s="1">
        <v>1.1000000000000001</v>
      </c>
    </row>
    <row r="246" spans="8:8" x14ac:dyDescent="0.55000000000000004">
      <c r="H246" s="1">
        <v>1.1000000000000001</v>
      </c>
    </row>
    <row r="247" spans="8:8" x14ac:dyDescent="0.55000000000000004">
      <c r="H247" s="1">
        <v>1.1000000000000001</v>
      </c>
    </row>
    <row r="248" spans="8:8" x14ac:dyDescent="0.55000000000000004">
      <c r="H248" s="1">
        <v>1.1000000000000001</v>
      </c>
    </row>
    <row r="249" spans="8:8" x14ac:dyDescent="0.55000000000000004">
      <c r="H249" s="1">
        <v>1.1000000000000001</v>
      </c>
    </row>
    <row r="250" spans="8:8" x14ac:dyDescent="0.55000000000000004">
      <c r="H250" s="1">
        <v>1.1000000000000001</v>
      </c>
    </row>
    <row r="251" spans="8:8" x14ac:dyDescent="0.55000000000000004">
      <c r="H251" s="1">
        <v>1.1000000000000001</v>
      </c>
    </row>
    <row r="252" spans="8:8" x14ac:dyDescent="0.55000000000000004">
      <c r="H252" s="1">
        <v>1.1000000000000001</v>
      </c>
    </row>
    <row r="253" spans="8:8" x14ac:dyDescent="0.55000000000000004">
      <c r="H253" s="1">
        <v>1.1000000000000001</v>
      </c>
    </row>
    <row r="254" spans="8:8" x14ac:dyDescent="0.55000000000000004">
      <c r="H254" s="1">
        <v>1.1000000000000001</v>
      </c>
    </row>
    <row r="255" spans="8:8" x14ac:dyDescent="0.55000000000000004">
      <c r="H255" s="1">
        <v>1.2</v>
      </c>
    </row>
    <row r="256" spans="8:8" x14ac:dyDescent="0.55000000000000004">
      <c r="H256" s="1">
        <v>1.2</v>
      </c>
    </row>
    <row r="257" spans="8:8" x14ac:dyDescent="0.55000000000000004">
      <c r="H257" s="1">
        <v>1.2</v>
      </c>
    </row>
    <row r="258" spans="8:8" x14ac:dyDescent="0.55000000000000004">
      <c r="H258" s="1">
        <v>1.2</v>
      </c>
    </row>
    <row r="259" spans="8:8" x14ac:dyDescent="0.55000000000000004">
      <c r="H259" s="1">
        <v>1.2</v>
      </c>
    </row>
    <row r="260" spans="8:8" x14ac:dyDescent="0.55000000000000004">
      <c r="H260" s="1">
        <v>1.2</v>
      </c>
    </row>
    <row r="261" spans="8:8" x14ac:dyDescent="0.55000000000000004">
      <c r="H261" s="1">
        <v>1.3</v>
      </c>
    </row>
    <row r="262" spans="8:8" x14ac:dyDescent="0.55000000000000004">
      <c r="H262" s="1">
        <v>1.3</v>
      </c>
    </row>
    <row r="263" spans="8:8" x14ac:dyDescent="0.55000000000000004">
      <c r="H263" s="1">
        <v>1.3</v>
      </c>
    </row>
    <row r="264" spans="8:8" x14ac:dyDescent="0.55000000000000004">
      <c r="H264" s="1">
        <v>1.3</v>
      </c>
    </row>
    <row r="265" spans="8:8" x14ac:dyDescent="0.55000000000000004">
      <c r="H265" s="1">
        <v>1.3</v>
      </c>
    </row>
    <row r="266" spans="8:8" x14ac:dyDescent="0.55000000000000004">
      <c r="H266" s="1">
        <v>1.3</v>
      </c>
    </row>
    <row r="267" spans="8:8" x14ac:dyDescent="0.55000000000000004">
      <c r="H267" s="1">
        <v>1.3</v>
      </c>
    </row>
    <row r="268" spans="8:8" x14ac:dyDescent="0.55000000000000004">
      <c r="H268" s="1">
        <v>1.4</v>
      </c>
    </row>
    <row r="269" spans="8:8" x14ac:dyDescent="0.55000000000000004">
      <c r="H269" s="1">
        <v>1.4</v>
      </c>
    </row>
    <row r="270" spans="8:8" x14ac:dyDescent="0.55000000000000004">
      <c r="H270" s="1">
        <v>1.4</v>
      </c>
    </row>
    <row r="271" spans="8:8" x14ac:dyDescent="0.55000000000000004">
      <c r="H271" s="1">
        <v>1.4</v>
      </c>
    </row>
    <row r="272" spans="8:8" x14ac:dyDescent="0.55000000000000004">
      <c r="H272" s="1">
        <v>1.4</v>
      </c>
    </row>
    <row r="273" spans="8:8" x14ac:dyDescent="0.55000000000000004">
      <c r="H273" s="1">
        <v>1.4</v>
      </c>
    </row>
    <row r="274" spans="8:8" x14ac:dyDescent="0.55000000000000004">
      <c r="H274" s="1">
        <v>1.4</v>
      </c>
    </row>
    <row r="275" spans="8:8" x14ac:dyDescent="0.55000000000000004">
      <c r="H275" s="1">
        <v>1.4</v>
      </c>
    </row>
    <row r="276" spans="8:8" x14ac:dyDescent="0.55000000000000004">
      <c r="H276" s="1">
        <v>1.4</v>
      </c>
    </row>
    <row r="277" spans="8:8" x14ac:dyDescent="0.55000000000000004">
      <c r="H277" s="1">
        <v>1.5</v>
      </c>
    </row>
    <row r="278" spans="8:8" x14ac:dyDescent="0.55000000000000004">
      <c r="H278" s="1">
        <v>1.5</v>
      </c>
    </row>
    <row r="279" spans="8:8" x14ac:dyDescent="0.55000000000000004">
      <c r="H279" s="1">
        <v>1.5</v>
      </c>
    </row>
    <row r="280" spans="8:8" x14ac:dyDescent="0.55000000000000004">
      <c r="H280" s="1">
        <v>1.5</v>
      </c>
    </row>
    <row r="281" spans="8:8" x14ac:dyDescent="0.55000000000000004">
      <c r="H281" s="1">
        <v>1.5</v>
      </c>
    </row>
    <row r="282" spans="8:8" x14ac:dyDescent="0.55000000000000004">
      <c r="H282" s="1">
        <v>1.5</v>
      </c>
    </row>
    <row r="283" spans="8:8" x14ac:dyDescent="0.55000000000000004">
      <c r="H283" s="1">
        <v>1.6</v>
      </c>
    </row>
    <row r="284" spans="8:8" x14ac:dyDescent="0.55000000000000004">
      <c r="H284" s="1">
        <v>1.6</v>
      </c>
    </row>
    <row r="285" spans="8:8" x14ac:dyDescent="0.55000000000000004">
      <c r="H285" s="1">
        <v>1.7</v>
      </c>
    </row>
    <row r="286" spans="8:8" x14ac:dyDescent="0.55000000000000004">
      <c r="H286" s="1">
        <v>1.7</v>
      </c>
    </row>
    <row r="287" spans="8:8" x14ac:dyDescent="0.55000000000000004">
      <c r="H287" s="1">
        <v>1.7</v>
      </c>
    </row>
    <row r="288" spans="8:8" x14ac:dyDescent="0.55000000000000004">
      <c r="H288" s="1">
        <v>1.8</v>
      </c>
    </row>
    <row r="289" spans="8:8" x14ac:dyDescent="0.55000000000000004">
      <c r="H289" s="1">
        <v>1.8</v>
      </c>
    </row>
    <row r="290" spans="8:8" x14ac:dyDescent="0.55000000000000004">
      <c r="H290" s="1">
        <v>1.8</v>
      </c>
    </row>
    <row r="291" spans="8:8" x14ac:dyDescent="0.55000000000000004">
      <c r="H291" s="1">
        <v>2</v>
      </c>
    </row>
    <row r="292" spans="8:8" x14ac:dyDescent="0.55000000000000004">
      <c r="H292" s="1">
        <v>2</v>
      </c>
    </row>
    <row r="293" spans="8:8" x14ac:dyDescent="0.55000000000000004">
      <c r="H293" s="1">
        <v>2</v>
      </c>
    </row>
    <row r="294" spans="8:8" x14ac:dyDescent="0.55000000000000004">
      <c r="H294" s="1">
        <v>2.1</v>
      </c>
    </row>
    <row r="295" spans="8:8" x14ac:dyDescent="0.55000000000000004">
      <c r="H295" s="1">
        <v>2.1</v>
      </c>
    </row>
    <row r="296" spans="8:8" x14ac:dyDescent="0.55000000000000004">
      <c r="H296" s="1">
        <v>2.2000000000000002</v>
      </c>
    </row>
    <row r="297" spans="8:8" x14ac:dyDescent="0.55000000000000004">
      <c r="H297" s="1">
        <v>2.5</v>
      </c>
    </row>
    <row r="298" spans="8:8" x14ac:dyDescent="0.55000000000000004">
      <c r="H298" s="1">
        <v>2.7</v>
      </c>
    </row>
    <row r="299" spans="8:8" x14ac:dyDescent="0.55000000000000004">
      <c r="H299" s="1">
        <v>4.5</v>
      </c>
    </row>
  </sheetData>
  <printOptions gridLines="1"/>
  <pageMargins left="0.75" right="0.75" top="1" bottom="1" header="0.5" footer="0.5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805"/>
  <sheetViews>
    <sheetView workbookViewId="0"/>
  </sheetViews>
  <sheetFormatPr defaultColWidth="10.1640625" defaultRowHeight="14.4" x14ac:dyDescent="0.55000000000000004"/>
  <cols>
    <col min="1" max="1" width="10" style="1" bestFit="1" customWidth="1"/>
    <col min="2" max="2" width="10.44140625" style="1" bestFit="1" customWidth="1"/>
    <col min="3" max="3" width="9.44140625" style="1" bestFit="1" customWidth="1"/>
    <col min="4" max="4" width="12" style="1" bestFit="1" customWidth="1"/>
    <col min="5" max="5" width="6.83203125" style="1" bestFit="1" customWidth="1"/>
    <col min="6" max="6" width="10.83203125" style="1" bestFit="1" customWidth="1"/>
    <col min="7" max="7" width="7.27734375" style="1" bestFit="1" customWidth="1"/>
    <col min="8" max="11" width="8.27734375" style="1" bestFit="1" customWidth="1"/>
    <col min="12" max="13" width="5" style="1" bestFit="1" customWidth="1"/>
    <col min="14" max="14" width="6.27734375" style="1" bestFit="1" customWidth="1"/>
    <col min="15" max="18" width="9.44140625" style="2" bestFit="1" customWidth="1"/>
    <col min="19" max="22" width="7.1640625" style="2" bestFit="1" customWidth="1"/>
    <col min="23" max="23" width="9.27734375" style="1" bestFit="1" customWidth="1"/>
    <col min="24" max="24" width="10.1640625" style="1" bestFit="1" customWidth="1"/>
    <col min="25" max="25" width="10" style="1" bestFit="1" customWidth="1"/>
    <col min="26" max="26" width="14.83203125" style="2" bestFit="1" customWidth="1"/>
    <col min="27" max="27" width="4.71875" style="1" bestFit="1" customWidth="1"/>
    <col min="28" max="28" width="6.27734375" style="2" bestFit="1" customWidth="1"/>
    <col min="29" max="29" width="17.83203125" style="2" bestFit="1" customWidth="1"/>
    <col min="30" max="30" width="18.27734375" style="2" bestFit="1" customWidth="1"/>
    <col min="31" max="31" width="14.71875" style="2" bestFit="1" customWidth="1"/>
    <col min="32" max="32" width="12" style="2" bestFit="1" customWidth="1"/>
    <col min="33" max="33" width="7.1640625" style="2" bestFit="1" customWidth="1"/>
    <col min="34" max="34" width="9.1640625" style="2" bestFit="1" customWidth="1"/>
    <col min="35" max="35" width="11.1640625" style="2" bestFit="1" customWidth="1"/>
    <col min="36" max="36" width="14.27734375" style="2" bestFit="1" customWidth="1"/>
    <col min="37" max="37" width="4.44140625" style="2" bestFit="1" customWidth="1"/>
    <col min="38" max="38" width="6" style="2" bestFit="1" customWidth="1"/>
    <col min="39" max="39" width="9.33203125" style="2" bestFit="1" customWidth="1"/>
    <col min="40" max="40" width="13.0546875" style="2" bestFit="1" customWidth="1"/>
    <col min="41" max="41" width="22.21875" style="2" bestFit="1" customWidth="1"/>
    <col min="42" max="42" width="8.88671875" style="2" bestFit="1" customWidth="1"/>
    <col min="43" max="43" width="11.609375" style="2" bestFit="1" customWidth="1"/>
    <col min="44" max="16384" width="10.1640625" style="2"/>
  </cols>
  <sheetData>
    <row r="1" spans="1:43" x14ac:dyDescent="0.55000000000000004">
      <c r="A1" s="1" t="s">
        <v>370</v>
      </c>
      <c r="B1" s="1" t="s">
        <v>438</v>
      </c>
      <c r="C1" s="1" t="s">
        <v>430</v>
      </c>
      <c r="D1" s="1" t="s">
        <v>181</v>
      </c>
      <c r="E1" s="1" t="s">
        <v>401</v>
      </c>
      <c r="F1" s="1" t="s">
        <v>326</v>
      </c>
      <c r="G1" s="1" t="s">
        <v>426</v>
      </c>
      <c r="H1" s="1" t="s">
        <v>59</v>
      </c>
      <c r="I1" s="1" t="s">
        <v>46</v>
      </c>
      <c r="J1" s="1" t="s">
        <v>60</v>
      </c>
      <c r="K1" s="1" t="s">
        <v>208</v>
      </c>
      <c r="L1" s="1" t="s">
        <v>185</v>
      </c>
      <c r="M1" s="1" t="s">
        <v>494</v>
      </c>
      <c r="N1" s="1" t="s">
        <v>120</v>
      </c>
      <c r="O1" s="1" t="s">
        <v>237</v>
      </c>
      <c r="P1" s="1" t="s">
        <v>106</v>
      </c>
      <c r="Q1" s="1" t="s">
        <v>316</v>
      </c>
      <c r="R1" s="1" t="s">
        <v>177</v>
      </c>
      <c r="S1" s="1" t="s">
        <v>132</v>
      </c>
      <c r="T1" s="1" t="s">
        <v>343</v>
      </c>
      <c r="U1" s="1" t="s">
        <v>202</v>
      </c>
      <c r="V1" s="1" t="s">
        <v>83</v>
      </c>
      <c r="W1" s="1" t="s">
        <v>216</v>
      </c>
      <c r="X1" s="1" t="s">
        <v>224</v>
      </c>
      <c r="Y1" s="1" t="s">
        <v>95</v>
      </c>
      <c r="Z1" s="1" t="s">
        <v>209</v>
      </c>
      <c r="AA1" s="1" t="s">
        <v>114</v>
      </c>
      <c r="AB1" s="1" t="s">
        <v>168</v>
      </c>
      <c r="AC1" s="2" t="s">
        <v>124</v>
      </c>
      <c r="AD1" s="2" t="s">
        <v>247</v>
      </c>
      <c r="AE1" s="2" t="s">
        <v>87</v>
      </c>
      <c r="AF1" s="2" t="s">
        <v>10</v>
      </c>
      <c r="AG1" s="2" t="s">
        <v>107</v>
      </c>
      <c r="AH1" s="2" t="s">
        <v>243</v>
      </c>
      <c r="AI1" s="2" t="s">
        <v>322</v>
      </c>
      <c r="AJ1" s="2" t="s">
        <v>301</v>
      </c>
      <c r="AK1" s="2" t="s">
        <v>517</v>
      </c>
      <c r="AL1" s="2" t="s">
        <v>516</v>
      </c>
      <c r="AM1" s="2" t="s">
        <v>535</v>
      </c>
      <c r="AN1" s="2" t="s">
        <v>536</v>
      </c>
      <c r="AO1" s="2" t="s">
        <v>539</v>
      </c>
      <c r="AP1" s="2" t="s">
        <v>538</v>
      </c>
      <c r="AQ1" s="2" t="s">
        <v>537</v>
      </c>
    </row>
    <row r="2" spans="1:43" x14ac:dyDescent="0.55000000000000004">
      <c r="A2" s="1">
        <v>14.8</v>
      </c>
      <c r="B2" s="1">
        <v>12.7</v>
      </c>
      <c r="C2" s="1">
        <v>86</v>
      </c>
      <c r="D2" s="1">
        <v>88</v>
      </c>
      <c r="E2" s="1">
        <v>4</v>
      </c>
      <c r="F2" s="1">
        <v>5</v>
      </c>
      <c r="G2" s="1">
        <v>0</v>
      </c>
      <c r="H2" s="1">
        <v>0</v>
      </c>
      <c r="I2" s="1">
        <v>2</v>
      </c>
      <c r="J2" s="1">
        <v>0</v>
      </c>
      <c r="K2" s="1">
        <v>2</v>
      </c>
      <c r="L2" s="1">
        <v>7.6</v>
      </c>
      <c r="M2" s="1">
        <v>5.2</v>
      </c>
      <c r="N2" s="1">
        <v>46.9</v>
      </c>
      <c r="O2" s="1">
        <v>83</v>
      </c>
      <c r="P2" s="1">
        <v>91</v>
      </c>
      <c r="Q2" s="1">
        <v>101</v>
      </c>
      <c r="R2" s="1">
        <v>78</v>
      </c>
      <c r="S2" s="1">
        <v>4</v>
      </c>
      <c r="T2" s="1">
        <v>3</v>
      </c>
      <c r="U2" s="1">
        <v>2</v>
      </c>
      <c r="V2" s="1">
        <v>1</v>
      </c>
      <c r="W2" s="1">
        <v>9.8699999999999996E-2</v>
      </c>
      <c r="X2" s="1">
        <v>10.8</v>
      </c>
      <c r="Y2" s="1">
        <v>10.8</v>
      </c>
      <c r="Z2" s="1">
        <v>22</v>
      </c>
      <c r="AA2" s="1">
        <v>4</v>
      </c>
      <c r="AB2" s="1">
        <v>710</v>
      </c>
      <c r="AC2" s="2">
        <v>9</v>
      </c>
      <c r="AD2" s="2">
        <v>30</v>
      </c>
      <c r="AE2" s="2">
        <v>37</v>
      </c>
      <c r="AF2" s="2" t="s">
        <v>467</v>
      </c>
      <c r="AG2" s="2">
        <v>67</v>
      </c>
      <c r="AH2" s="4">
        <v>0.44</v>
      </c>
      <c r="AI2" s="2">
        <v>4</v>
      </c>
      <c r="AJ2" s="2">
        <v>5</v>
      </c>
      <c r="AK2" s="2">
        <v>141</v>
      </c>
      <c r="AL2" s="2">
        <v>222.6</v>
      </c>
      <c r="AM2" s="2" t="s">
        <v>534</v>
      </c>
      <c r="AN2" s="2">
        <v>2860</v>
      </c>
      <c r="AO2" s="2">
        <v>59</v>
      </c>
      <c r="AP2" s="2">
        <v>250</v>
      </c>
      <c r="AQ2" s="2">
        <v>14750</v>
      </c>
    </row>
    <row r="3" spans="1:43" x14ac:dyDescent="0.55000000000000004">
      <c r="A3" s="1">
        <v>7.3</v>
      </c>
      <c r="B3" s="1">
        <v>14.2</v>
      </c>
      <c r="C3" s="1">
        <v>71</v>
      </c>
      <c r="D3" s="1">
        <v>77</v>
      </c>
      <c r="E3" s="1">
        <v>10</v>
      </c>
      <c r="F3" s="1">
        <v>8</v>
      </c>
      <c r="G3" s="1">
        <v>0</v>
      </c>
      <c r="H3" s="1">
        <v>0</v>
      </c>
      <c r="I3" s="1">
        <v>3</v>
      </c>
      <c r="J3" s="1">
        <v>3</v>
      </c>
      <c r="K3" s="1">
        <v>4</v>
      </c>
      <c r="L3" s="1">
        <v>8.4</v>
      </c>
      <c r="M3" s="1">
        <v>5.7</v>
      </c>
      <c r="N3" s="1">
        <v>47.2</v>
      </c>
      <c r="O3" s="1">
        <v>91</v>
      </c>
      <c r="P3" s="1">
        <v>90</v>
      </c>
      <c r="Q3" s="1">
        <v>100</v>
      </c>
      <c r="R3" s="1">
        <v>82</v>
      </c>
      <c r="S3" s="1">
        <v>4</v>
      </c>
      <c r="T3" s="1">
        <v>2</v>
      </c>
      <c r="U3" s="1">
        <v>3</v>
      </c>
      <c r="V3" s="1">
        <v>1</v>
      </c>
      <c r="W3" s="1">
        <v>5.33E-2</v>
      </c>
      <c r="X3" s="1">
        <v>11.1</v>
      </c>
      <c r="Y3" s="1">
        <v>10.5</v>
      </c>
      <c r="Z3" s="1">
        <v>28</v>
      </c>
      <c r="AA3" s="1">
        <v>4</v>
      </c>
      <c r="AB3" s="1">
        <v>610</v>
      </c>
      <c r="AC3" s="2">
        <v>8</v>
      </c>
      <c r="AD3" s="2">
        <v>13</v>
      </c>
      <c r="AE3" s="2">
        <v>5</v>
      </c>
      <c r="AF3" s="2" t="s">
        <v>133</v>
      </c>
      <c r="AG3" s="2">
        <v>83</v>
      </c>
      <c r="AH3" s="4">
        <v>0.45</v>
      </c>
      <c r="AI3" s="2">
        <v>36</v>
      </c>
      <c r="AJ3" s="2">
        <v>8</v>
      </c>
      <c r="AK3" s="2">
        <v>134</v>
      </c>
      <c r="AL3" s="2">
        <v>176.4</v>
      </c>
      <c r="AM3" s="2" t="s">
        <v>533</v>
      </c>
      <c r="AN3" s="2">
        <v>4410</v>
      </c>
      <c r="AO3" s="2">
        <v>43</v>
      </c>
      <c r="AP3" s="2">
        <v>621</v>
      </c>
      <c r="AQ3" s="2">
        <v>26703</v>
      </c>
    </row>
    <row r="4" spans="1:43" x14ac:dyDescent="0.55000000000000004">
      <c r="A4" s="1">
        <v>5.6</v>
      </c>
      <c r="B4" s="1">
        <v>12.6</v>
      </c>
      <c r="C4" s="1">
        <v>77</v>
      </c>
      <c r="D4" s="1">
        <v>76</v>
      </c>
      <c r="E4" s="1">
        <v>3</v>
      </c>
      <c r="F4" s="1">
        <v>6</v>
      </c>
      <c r="G4" s="1">
        <v>1</v>
      </c>
      <c r="H4" s="1">
        <v>5</v>
      </c>
      <c r="I4" s="1">
        <v>6</v>
      </c>
      <c r="J4" s="1">
        <v>5</v>
      </c>
      <c r="K4" s="1">
        <v>6</v>
      </c>
      <c r="L4" s="1">
        <v>8.6</v>
      </c>
      <c r="M4" s="1">
        <v>5.9</v>
      </c>
      <c r="N4" s="1">
        <v>49.1</v>
      </c>
      <c r="O4" s="1">
        <v>94</v>
      </c>
      <c r="P4" s="1">
        <v>81</v>
      </c>
      <c r="Q4" s="1">
        <v>91</v>
      </c>
      <c r="R4" s="1">
        <v>81</v>
      </c>
      <c r="S4" s="1">
        <v>3</v>
      </c>
      <c r="T4" s="1">
        <v>1.5</v>
      </c>
      <c r="U4" s="1">
        <v>1.5</v>
      </c>
      <c r="V4" s="1">
        <v>4</v>
      </c>
      <c r="W4" s="1">
        <v>2.93E-2</v>
      </c>
      <c r="X4" s="1">
        <v>10.4</v>
      </c>
      <c r="Y4" s="1">
        <v>11</v>
      </c>
      <c r="Z4" s="1">
        <v>41</v>
      </c>
      <c r="AA4" s="1">
        <v>3.9</v>
      </c>
      <c r="AB4" s="1">
        <v>640</v>
      </c>
      <c r="AC4" s="2">
        <v>7</v>
      </c>
      <c r="AD4" s="2">
        <v>9</v>
      </c>
      <c r="AE4" s="2">
        <v>4</v>
      </c>
      <c r="AF4" s="2" t="s">
        <v>27</v>
      </c>
      <c r="AG4" s="2">
        <v>29</v>
      </c>
      <c r="AH4" s="4">
        <v>0.08</v>
      </c>
      <c r="AI4" s="2">
        <v>38</v>
      </c>
      <c r="AJ4" s="2">
        <v>12</v>
      </c>
      <c r="AK4" s="2">
        <v>155</v>
      </c>
      <c r="AL4" s="2">
        <v>173.6</v>
      </c>
      <c r="AM4" s="2" t="s">
        <v>532</v>
      </c>
      <c r="AN4" s="2">
        <v>4730</v>
      </c>
      <c r="AO4" s="2">
        <v>39</v>
      </c>
      <c r="AP4" s="2">
        <v>308</v>
      </c>
      <c r="AQ4" s="2">
        <v>12012</v>
      </c>
    </row>
    <row r="5" spans="1:43" x14ac:dyDescent="0.55000000000000004">
      <c r="A5" s="1">
        <v>6.3</v>
      </c>
      <c r="B5" s="1">
        <v>2.1</v>
      </c>
      <c r="C5" s="1">
        <v>68</v>
      </c>
      <c r="D5" s="1">
        <v>64</v>
      </c>
      <c r="E5" s="1">
        <v>1</v>
      </c>
      <c r="F5" s="1">
        <v>2</v>
      </c>
      <c r="G5" s="1">
        <v>1</v>
      </c>
      <c r="H5" s="1">
        <v>7</v>
      </c>
      <c r="I5" s="1">
        <v>9</v>
      </c>
      <c r="J5" s="1">
        <v>6</v>
      </c>
      <c r="K5" s="1">
        <v>6</v>
      </c>
      <c r="L5" s="1">
        <v>8.6999999999999993</v>
      </c>
      <c r="M5" s="1">
        <v>6.5</v>
      </c>
      <c r="N5" s="1">
        <v>56.5</v>
      </c>
      <c r="O5" s="1">
        <v>89</v>
      </c>
      <c r="P5" s="1">
        <v>83</v>
      </c>
      <c r="Q5" s="1">
        <v>93</v>
      </c>
      <c r="R5" s="1">
        <v>77</v>
      </c>
      <c r="S5" s="1">
        <v>3</v>
      </c>
      <c r="T5" s="1">
        <v>1</v>
      </c>
      <c r="U5" s="1">
        <v>2</v>
      </c>
      <c r="V5" s="1">
        <v>4</v>
      </c>
      <c r="W5" s="1">
        <v>2.46E-2</v>
      </c>
      <c r="X5" s="1">
        <v>10.1</v>
      </c>
      <c r="Y5" s="1">
        <v>10.9</v>
      </c>
      <c r="Z5" s="1">
        <v>35</v>
      </c>
      <c r="AA5" s="1">
        <v>3.8</v>
      </c>
      <c r="AB5" s="1">
        <v>580</v>
      </c>
      <c r="AC5" s="2">
        <v>6</v>
      </c>
      <c r="AD5" s="2">
        <v>8</v>
      </c>
      <c r="AE5" s="2">
        <v>4</v>
      </c>
      <c r="AF5" s="2" t="s">
        <v>75</v>
      </c>
      <c r="AG5" s="2">
        <v>8</v>
      </c>
      <c r="AH5" s="4">
        <v>0.03</v>
      </c>
      <c r="AI5" s="2">
        <v>39</v>
      </c>
      <c r="AJ5" s="2">
        <v>14</v>
      </c>
      <c r="AK5" s="2">
        <v>157</v>
      </c>
      <c r="AL5" s="2">
        <v>162.4</v>
      </c>
      <c r="AM5" s="2" t="s">
        <v>531</v>
      </c>
      <c r="AN5" s="2">
        <v>6720</v>
      </c>
      <c r="AO5" s="2">
        <v>24</v>
      </c>
      <c r="AP5" s="2">
        <v>889</v>
      </c>
      <c r="AQ5" s="2">
        <v>21336</v>
      </c>
    </row>
    <row r="6" spans="1:43" x14ac:dyDescent="0.55000000000000004">
      <c r="A6" s="1">
        <v>9</v>
      </c>
      <c r="B6" s="1">
        <v>17.7</v>
      </c>
      <c r="C6" s="1">
        <v>91</v>
      </c>
      <c r="D6" s="1">
        <v>96</v>
      </c>
      <c r="E6" s="1">
        <v>9</v>
      </c>
      <c r="F6" s="1">
        <v>10</v>
      </c>
      <c r="G6" s="1">
        <v>2</v>
      </c>
      <c r="H6" s="1">
        <v>8</v>
      </c>
      <c r="I6" s="1">
        <v>10</v>
      </c>
      <c r="J6" s="1">
        <v>10</v>
      </c>
      <c r="K6" s="1">
        <v>6</v>
      </c>
      <c r="L6" s="1">
        <v>9.3000000000000007</v>
      </c>
      <c r="M6" s="1">
        <v>6.8</v>
      </c>
      <c r="N6" s="1">
        <v>56.8</v>
      </c>
      <c r="O6" s="1">
        <v>89</v>
      </c>
      <c r="P6" s="1">
        <v>84</v>
      </c>
      <c r="Q6" s="1">
        <v>96</v>
      </c>
      <c r="R6" s="1">
        <v>79</v>
      </c>
      <c r="S6" s="1">
        <v>4</v>
      </c>
      <c r="T6" s="1">
        <v>2</v>
      </c>
      <c r="U6" s="1">
        <v>1</v>
      </c>
      <c r="V6" s="1">
        <v>3</v>
      </c>
      <c r="W6" s="1">
        <v>0.02</v>
      </c>
      <c r="X6" s="1">
        <v>11.3</v>
      </c>
      <c r="Y6" s="1">
        <v>10.8</v>
      </c>
      <c r="Z6" s="1">
        <v>19</v>
      </c>
      <c r="AA6" s="1">
        <v>3.7</v>
      </c>
      <c r="AB6" s="1">
        <v>545</v>
      </c>
      <c r="AC6" s="2">
        <v>5</v>
      </c>
      <c r="AD6" s="2">
        <v>7</v>
      </c>
      <c r="AE6" s="2">
        <v>3</v>
      </c>
      <c r="AI6" s="2">
        <v>44</v>
      </c>
      <c r="AJ6" s="2">
        <v>16</v>
      </c>
      <c r="AK6" s="2">
        <v>142</v>
      </c>
      <c r="AL6" s="2">
        <v>157.19999999999999</v>
      </c>
      <c r="AM6" s="2" t="s">
        <v>530</v>
      </c>
      <c r="AN6" s="2">
        <v>8130</v>
      </c>
      <c r="AO6" s="2">
        <v>22</v>
      </c>
      <c r="AP6" s="2">
        <v>568</v>
      </c>
      <c r="AQ6" s="2">
        <v>12496</v>
      </c>
    </row>
    <row r="7" spans="1:43" x14ac:dyDescent="0.55000000000000004">
      <c r="A7" s="1">
        <v>4.2</v>
      </c>
      <c r="B7" s="1">
        <v>11.8</v>
      </c>
      <c r="C7" s="1">
        <v>72</v>
      </c>
      <c r="D7" s="1">
        <v>72</v>
      </c>
      <c r="E7" s="1">
        <v>2</v>
      </c>
      <c r="F7" s="1">
        <v>3</v>
      </c>
      <c r="G7" s="1">
        <v>2</v>
      </c>
      <c r="H7" s="1">
        <v>11</v>
      </c>
      <c r="I7" s="1">
        <v>11</v>
      </c>
      <c r="J7" s="1">
        <v>19</v>
      </c>
      <c r="K7" s="1">
        <v>7</v>
      </c>
      <c r="L7" s="1">
        <v>9.9</v>
      </c>
      <c r="M7" s="1">
        <v>8.1999999999999993</v>
      </c>
      <c r="N7" s="1">
        <v>59.2</v>
      </c>
      <c r="O7" s="1">
        <v>96</v>
      </c>
      <c r="P7" s="1">
        <v>83</v>
      </c>
      <c r="Q7" s="1">
        <v>95</v>
      </c>
      <c r="R7" s="1">
        <v>81</v>
      </c>
      <c r="S7" s="1">
        <v>2</v>
      </c>
      <c r="T7" s="1">
        <v>2</v>
      </c>
      <c r="U7" s="1">
        <v>2</v>
      </c>
      <c r="V7" s="1">
        <v>4</v>
      </c>
      <c r="W7" s="1">
        <v>1.9400000000000001E-2</v>
      </c>
      <c r="Y7" s="1">
        <v>10.7</v>
      </c>
      <c r="Z7" s="1">
        <v>25</v>
      </c>
      <c r="AA7" s="1">
        <v>3.6</v>
      </c>
      <c r="AB7" s="1">
        <v>560</v>
      </c>
      <c r="AC7" s="2">
        <v>5</v>
      </c>
      <c r="AD7" s="2">
        <v>7</v>
      </c>
      <c r="AE7" s="2">
        <v>3</v>
      </c>
      <c r="AI7" s="2">
        <v>45</v>
      </c>
      <c r="AJ7" s="2">
        <v>18</v>
      </c>
      <c r="AK7" s="2">
        <v>124</v>
      </c>
      <c r="AL7" s="2">
        <v>152.5</v>
      </c>
    </row>
    <row r="8" spans="1:43" x14ac:dyDescent="0.55000000000000004">
      <c r="A8" s="1">
        <v>10.6</v>
      </c>
      <c r="B8" s="1">
        <v>16.899999999999999</v>
      </c>
      <c r="C8" s="1">
        <v>77</v>
      </c>
      <c r="D8" s="1">
        <v>65</v>
      </c>
      <c r="E8" s="1">
        <v>6</v>
      </c>
      <c r="F8" s="1">
        <v>9</v>
      </c>
      <c r="G8" s="1">
        <v>4</v>
      </c>
      <c r="H8" s="1">
        <v>13</v>
      </c>
      <c r="I8" s="1">
        <v>11</v>
      </c>
      <c r="J8" s="1">
        <v>56</v>
      </c>
      <c r="K8" s="1">
        <v>18</v>
      </c>
      <c r="L8" s="1">
        <v>10.1</v>
      </c>
      <c r="M8" s="1">
        <v>9.1</v>
      </c>
      <c r="N8" s="1">
        <v>59.9</v>
      </c>
      <c r="O8" s="1">
        <v>91</v>
      </c>
      <c r="P8" s="1">
        <v>88</v>
      </c>
      <c r="Q8" s="1">
        <v>94</v>
      </c>
      <c r="R8" s="1">
        <v>80</v>
      </c>
      <c r="S8" s="1">
        <v>1</v>
      </c>
      <c r="T8" s="1">
        <v>3</v>
      </c>
      <c r="U8" s="1">
        <v>2</v>
      </c>
      <c r="V8" s="1">
        <v>4</v>
      </c>
      <c r="W8" s="1">
        <v>1.9099999999999999E-2</v>
      </c>
      <c r="Y8" s="1">
        <v>10.8</v>
      </c>
      <c r="Z8" s="1">
        <v>25</v>
      </c>
      <c r="AA8" s="1">
        <v>3.5</v>
      </c>
      <c r="AB8" s="1">
        <v>610</v>
      </c>
      <c r="AC8" s="2">
        <v>4</v>
      </c>
      <c r="AD8" s="2">
        <v>7</v>
      </c>
      <c r="AE8" s="2">
        <v>3</v>
      </c>
      <c r="AJ8" s="2">
        <v>19</v>
      </c>
      <c r="AK8" s="2">
        <v>152</v>
      </c>
      <c r="AL8" s="2">
        <v>145.1</v>
      </c>
    </row>
    <row r="9" spans="1:43" x14ac:dyDescent="0.55000000000000004">
      <c r="A9" s="1">
        <v>12.5</v>
      </c>
      <c r="B9" s="1">
        <v>7.9</v>
      </c>
      <c r="C9" s="1">
        <v>91</v>
      </c>
      <c r="D9" s="1">
        <v>90</v>
      </c>
      <c r="E9" s="1">
        <v>7</v>
      </c>
      <c r="F9" s="1">
        <v>4</v>
      </c>
      <c r="G9" s="1">
        <v>9</v>
      </c>
      <c r="H9" s="1">
        <v>23</v>
      </c>
      <c r="I9" s="1">
        <v>12</v>
      </c>
      <c r="J9" s="1">
        <v>100</v>
      </c>
      <c r="K9" s="1">
        <v>39</v>
      </c>
      <c r="L9" s="1">
        <v>10.6</v>
      </c>
      <c r="M9" s="1">
        <v>9.8000000000000007</v>
      </c>
      <c r="N9" s="1">
        <v>63.2</v>
      </c>
      <c r="O9" s="1">
        <v>92</v>
      </c>
      <c r="P9" s="1">
        <v>91</v>
      </c>
      <c r="Q9" s="1"/>
      <c r="R9" s="1">
        <v>81</v>
      </c>
      <c r="S9" s="1">
        <v>2</v>
      </c>
      <c r="T9" s="1">
        <v>4</v>
      </c>
      <c r="U9" s="1">
        <v>1</v>
      </c>
      <c r="V9" s="1">
        <v>3</v>
      </c>
      <c r="W9" s="1">
        <v>1.7999999999999999E-2</v>
      </c>
      <c r="Z9" s="1">
        <v>40</v>
      </c>
      <c r="AA9" s="1">
        <v>3.5</v>
      </c>
      <c r="AB9" s="1">
        <v>530</v>
      </c>
      <c r="AC9" s="2">
        <v>4</v>
      </c>
      <c r="AD9" s="2">
        <v>6</v>
      </c>
      <c r="AE9" s="2">
        <v>3</v>
      </c>
      <c r="AJ9" s="2">
        <v>23</v>
      </c>
      <c r="AK9" s="2">
        <v>144</v>
      </c>
      <c r="AL9" s="2">
        <v>142</v>
      </c>
    </row>
    <row r="10" spans="1:43" x14ac:dyDescent="0.55000000000000004">
      <c r="A10" s="1">
        <v>12.9</v>
      </c>
      <c r="B10" s="1">
        <v>16</v>
      </c>
      <c r="C10" s="1">
        <v>70</v>
      </c>
      <c r="D10" s="1">
        <v>65</v>
      </c>
      <c r="E10" s="1">
        <v>8</v>
      </c>
      <c r="F10" s="1">
        <v>7</v>
      </c>
      <c r="H10" s="1">
        <v>25</v>
      </c>
      <c r="I10" s="1">
        <v>21</v>
      </c>
      <c r="J10" s="1">
        <v>132</v>
      </c>
      <c r="K10" s="1">
        <v>60</v>
      </c>
      <c r="L10" s="1">
        <v>11.2</v>
      </c>
      <c r="M10" s="1">
        <v>10.8</v>
      </c>
      <c r="N10" s="1">
        <v>63.3</v>
      </c>
      <c r="O10" s="1">
        <v>90</v>
      </c>
      <c r="P10" s="1">
        <v>89</v>
      </c>
      <c r="Q10" s="1"/>
      <c r="R10" s="1"/>
      <c r="S10" s="1">
        <v>3.5</v>
      </c>
      <c r="T10" s="1">
        <v>1</v>
      </c>
      <c r="U10" s="1">
        <v>2</v>
      </c>
      <c r="V10" s="1">
        <v>3.5</v>
      </c>
      <c r="W10" s="1">
        <v>1.72E-2</v>
      </c>
      <c r="Z10" s="1">
        <v>30</v>
      </c>
      <c r="AA10" s="1">
        <v>3.5</v>
      </c>
      <c r="AB10" s="1">
        <v>560</v>
      </c>
      <c r="AC10" s="2">
        <v>4</v>
      </c>
      <c r="AD10" s="2">
        <v>6</v>
      </c>
      <c r="AE10" s="2">
        <v>2</v>
      </c>
      <c r="AJ10" s="2">
        <v>24</v>
      </c>
      <c r="AK10" s="2">
        <v>160</v>
      </c>
      <c r="AL10" s="2">
        <v>140.6</v>
      </c>
    </row>
    <row r="11" spans="1:43" x14ac:dyDescent="0.55000000000000004">
      <c r="A11" s="1">
        <v>16.100000000000001</v>
      </c>
      <c r="B11" s="1">
        <v>10.6</v>
      </c>
      <c r="C11" s="1">
        <v>71</v>
      </c>
      <c r="D11" s="1">
        <v>80</v>
      </c>
      <c r="E11" s="1">
        <v>5</v>
      </c>
      <c r="F11" s="1">
        <v>1</v>
      </c>
      <c r="H11" s="1">
        <v>97</v>
      </c>
      <c r="M11" s="1">
        <v>11.3</v>
      </c>
      <c r="N11" s="1">
        <v>63.4</v>
      </c>
      <c r="O11" s="1"/>
      <c r="P11" s="1">
        <v>84</v>
      </c>
      <c r="Q11" s="1"/>
      <c r="R11" s="1"/>
      <c r="S11" s="1">
        <v>4</v>
      </c>
      <c r="T11" s="1">
        <v>1</v>
      </c>
      <c r="U11" s="1">
        <v>3</v>
      </c>
      <c r="V11" s="1">
        <v>2</v>
      </c>
      <c r="W11" s="1">
        <v>1.32E-2</v>
      </c>
      <c r="Z11" s="1">
        <v>35</v>
      </c>
      <c r="AA11" s="1">
        <v>3.3</v>
      </c>
      <c r="AB11" s="1">
        <v>540</v>
      </c>
      <c r="AC11" s="2">
        <v>3</v>
      </c>
      <c r="AD11" s="2">
        <v>5</v>
      </c>
      <c r="AE11" s="2">
        <v>2</v>
      </c>
      <c r="AJ11" s="2">
        <v>28</v>
      </c>
      <c r="AK11" s="2">
        <v>148</v>
      </c>
      <c r="AL11" s="2">
        <v>139.6</v>
      </c>
    </row>
    <row r="12" spans="1:43" x14ac:dyDescent="0.55000000000000004">
      <c r="A12" s="1">
        <v>11.4</v>
      </c>
      <c r="B12" s="1">
        <v>5.6</v>
      </c>
      <c r="C12" s="1">
        <v>88</v>
      </c>
      <c r="D12" s="1">
        <v>81</v>
      </c>
      <c r="M12" s="1">
        <v>11.5</v>
      </c>
      <c r="N12" s="1">
        <v>63.7</v>
      </c>
      <c r="O12" s="1"/>
      <c r="P12" s="1"/>
      <c r="Q12" s="1"/>
      <c r="R12" s="1"/>
      <c r="S12" s="1">
        <v>4</v>
      </c>
      <c r="T12" s="1">
        <v>2</v>
      </c>
      <c r="U12" s="1">
        <v>3</v>
      </c>
      <c r="V12" s="1">
        <v>1</v>
      </c>
      <c r="W12" s="1">
        <v>1.0200000000000001E-2</v>
      </c>
      <c r="AA12" s="1">
        <v>3.2</v>
      </c>
      <c r="AB12" s="1">
        <v>570</v>
      </c>
      <c r="AC12" s="2">
        <v>3</v>
      </c>
      <c r="AD12" s="2">
        <v>2</v>
      </c>
      <c r="AE12" s="2">
        <v>2</v>
      </c>
      <c r="AJ12" s="2">
        <v>29</v>
      </c>
      <c r="AK12" s="2">
        <v>125</v>
      </c>
      <c r="AL12" s="2">
        <v>138.9</v>
      </c>
    </row>
    <row r="13" spans="1:43" x14ac:dyDescent="0.55000000000000004">
      <c r="A13" s="1">
        <v>2.7</v>
      </c>
      <c r="B13" s="1">
        <v>5.6</v>
      </c>
      <c r="C13" s="1">
        <v>87</v>
      </c>
      <c r="D13" s="1">
        <v>72</v>
      </c>
      <c r="M13" s="1">
        <v>12.3</v>
      </c>
      <c r="N13" s="1">
        <v>64.099999999999994</v>
      </c>
      <c r="O13" s="1"/>
      <c r="P13" s="1"/>
      <c r="Q13" s="1"/>
      <c r="R13" s="1"/>
      <c r="S13" s="1">
        <v>3.5</v>
      </c>
      <c r="T13" s="1">
        <v>1</v>
      </c>
      <c r="U13" s="1">
        <v>2</v>
      </c>
      <c r="V13" s="1">
        <v>3.5</v>
      </c>
      <c r="W13" s="1">
        <v>8.3999999999999995E-3</v>
      </c>
      <c r="AA13" s="1">
        <v>3.2</v>
      </c>
      <c r="AB13" s="1">
        <v>560</v>
      </c>
      <c r="AC13" s="2">
        <v>3</v>
      </c>
      <c r="AD13" s="2">
        <v>2</v>
      </c>
      <c r="AE13" s="2">
        <v>2</v>
      </c>
      <c r="AJ13" s="2">
        <v>35</v>
      </c>
      <c r="AK13" s="2">
        <v>142</v>
      </c>
      <c r="AL13" s="2">
        <v>138.80000000000001</v>
      </c>
    </row>
    <row r="14" spans="1:43" x14ac:dyDescent="0.55000000000000004">
      <c r="B14" s="1">
        <v>7.6</v>
      </c>
      <c r="M14" s="1">
        <v>12.5</v>
      </c>
      <c r="N14" s="1">
        <v>67.099999999999994</v>
      </c>
      <c r="O14" s="1"/>
      <c r="P14" s="1"/>
      <c r="Q14" s="1"/>
      <c r="R14" s="1"/>
      <c r="S14" s="1"/>
      <c r="T14" s="1"/>
      <c r="U14" s="1"/>
      <c r="V14" s="1"/>
      <c r="W14" s="1">
        <v>7.7000000000000002E-3</v>
      </c>
      <c r="AC14" s="2">
        <v>3</v>
      </c>
      <c r="AD14" s="2">
        <v>2</v>
      </c>
      <c r="AE14" s="2">
        <v>2</v>
      </c>
      <c r="AJ14" s="2">
        <v>39</v>
      </c>
      <c r="AK14" s="2">
        <v>114</v>
      </c>
      <c r="AL14" s="2">
        <v>138.69999999999999</v>
      </c>
    </row>
    <row r="15" spans="1:43" x14ac:dyDescent="0.55000000000000004">
      <c r="B15" s="1">
        <v>11.3</v>
      </c>
      <c r="M15" s="1">
        <v>13.4</v>
      </c>
      <c r="N15" s="1">
        <v>67.7</v>
      </c>
      <c r="O15" s="1"/>
      <c r="P15" s="1"/>
      <c r="Q15" s="1"/>
      <c r="R15" s="1"/>
      <c r="S15" s="1"/>
      <c r="T15" s="1"/>
      <c r="U15" s="1"/>
      <c r="V15" s="1"/>
      <c r="W15" s="1">
        <v>5.7999999999999996E-3</v>
      </c>
      <c r="AC15" s="2">
        <v>2</v>
      </c>
      <c r="AD15" s="2">
        <v>1</v>
      </c>
      <c r="AE15" s="2">
        <v>2</v>
      </c>
      <c r="AK15" s="2">
        <v>126</v>
      </c>
      <c r="AL15" s="2">
        <v>137.4</v>
      </c>
    </row>
    <row r="16" spans="1:43" x14ac:dyDescent="0.55000000000000004">
      <c r="B16" s="1">
        <v>8.3000000000000007</v>
      </c>
      <c r="M16" s="1">
        <v>14.6</v>
      </c>
      <c r="N16" s="1">
        <v>73.3</v>
      </c>
      <c r="O16" s="1"/>
      <c r="P16" s="1"/>
      <c r="Q16" s="1"/>
      <c r="R16" s="1"/>
      <c r="S16" s="1"/>
      <c r="T16" s="1"/>
      <c r="U16" s="1"/>
      <c r="V16" s="1"/>
      <c r="W16" s="1">
        <v>1.6000000000000001E-3</v>
      </c>
      <c r="AC16" s="2">
        <v>2</v>
      </c>
      <c r="AD16" s="2">
        <v>1</v>
      </c>
      <c r="AE16" s="2">
        <v>2</v>
      </c>
      <c r="AK16" s="2">
        <v>146</v>
      </c>
      <c r="AL16" s="2">
        <v>136.5</v>
      </c>
    </row>
    <row r="17" spans="2:38" x14ac:dyDescent="0.55000000000000004">
      <c r="B17" s="1">
        <v>6.7</v>
      </c>
      <c r="N17" s="1">
        <v>78.5</v>
      </c>
      <c r="O17" s="1"/>
      <c r="P17" s="1"/>
      <c r="Q17" s="1"/>
      <c r="R17" s="1"/>
      <c r="S17" s="1"/>
      <c r="T17" s="1"/>
      <c r="U17" s="1"/>
      <c r="V17" s="1"/>
      <c r="W17" s="1">
        <v>0</v>
      </c>
      <c r="AC17" s="2">
        <v>2</v>
      </c>
      <c r="AD17" s="2">
        <v>1</v>
      </c>
      <c r="AE17" s="2">
        <v>2</v>
      </c>
      <c r="AK17" s="2">
        <v>127</v>
      </c>
      <c r="AL17" s="2">
        <v>134.4</v>
      </c>
    </row>
    <row r="18" spans="2:38" x14ac:dyDescent="0.55000000000000004">
      <c r="B18" s="1">
        <v>3.6</v>
      </c>
      <c r="O18" s="1"/>
      <c r="P18" s="1"/>
      <c r="Q18" s="1"/>
      <c r="R18" s="1"/>
      <c r="S18" s="1"/>
      <c r="T18" s="1"/>
      <c r="U18" s="1"/>
      <c r="V18" s="1"/>
      <c r="W18" s="1">
        <v>-2.5999999999999999E-3</v>
      </c>
      <c r="AC18" s="2">
        <v>2</v>
      </c>
      <c r="AD18" s="2">
        <v>1</v>
      </c>
      <c r="AE18" s="2">
        <v>1</v>
      </c>
      <c r="AK18" s="2">
        <v>157</v>
      </c>
      <c r="AL18" s="2">
        <v>134.30000000000001</v>
      </c>
    </row>
    <row r="19" spans="2:38" x14ac:dyDescent="0.55000000000000004">
      <c r="B19" s="1">
        <v>1</v>
      </c>
      <c r="O19" s="1"/>
      <c r="P19" s="1"/>
      <c r="Q19" s="1"/>
      <c r="R19" s="1"/>
      <c r="S19" s="1"/>
      <c r="T19" s="1"/>
      <c r="U19" s="1"/>
      <c r="V19" s="1"/>
      <c r="W19" s="1">
        <v>-3.5999999999999999E-3</v>
      </c>
      <c r="AC19" s="2">
        <v>2</v>
      </c>
      <c r="AD19" s="2">
        <v>1</v>
      </c>
      <c r="AE19" s="2">
        <v>1</v>
      </c>
      <c r="AK19" s="2">
        <v>114</v>
      </c>
      <c r="AL19" s="2">
        <v>134.1</v>
      </c>
    </row>
    <row r="20" spans="2:38" x14ac:dyDescent="0.55000000000000004">
      <c r="B20" s="1">
        <v>2.4</v>
      </c>
      <c r="O20" s="1"/>
      <c r="P20" s="1"/>
      <c r="Q20" s="1"/>
      <c r="R20" s="1"/>
      <c r="S20" s="1"/>
      <c r="T20" s="1"/>
      <c r="U20" s="1"/>
      <c r="V20" s="1"/>
      <c r="W20" s="1">
        <v>-4.1999999999999997E-3</v>
      </c>
      <c r="AC20" s="2">
        <v>2</v>
      </c>
      <c r="AD20" s="2">
        <v>1</v>
      </c>
      <c r="AE20" s="2">
        <v>1</v>
      </c>
      <c r="AK20" s="2">
        <v>149</v>
      </c>
      <c r="AL20" s="2">
        <v>133.19999999999999</v>
      </c>
    </row>
    <row r="21" spans="2:38" x14ac:dyDescent="0.55000000000000004">
      <c r="B21" s="1">
        <v>6.4</v>
      </c>
      <c r="O21" s="1"/>
      <c r="P21" s="1"/>
      <c r="Q21" s="1"/>
      <c r="R21" s="1"/>
      <c r="S21" s="1"/>
      <c r="T21" s="1"/>
      <c r="U21" s="1"/>
      <c r="V21" s="1"/>
      <c r="W21" s="1">
        <v>-1.14E-2</v>
      </c>
      <c r="AC21" s="2">
        <v>2</v>
      </c>
      <c r="AD21" s="2">
        <v>1</v>
      </c>
      <c r="AE21" s="2">
        <v>1</v>
      </c>
      <c r="AK21" s="2">
        <v>142</v>
      </c>
      <c r="AL21" s="2">
        <v>132.19999999999999</v>
      </c>
    </row>
    <row r="22" spans="2:38" x14ac:dyDescent="0.55000000000000004">
      <c r="B22" s="1">
        <v>9.1</v>
      </c>
      <c r="O22" s="1"/>
      <c r="P22" s="1"/>
      <c r="Q22" s="1"/>
      <c r="R22" s="1"/>
      <c r="S22" s="1"/>
      <c r="T22" s="1"/>
      <c r="U22" s="1"/>
      <c r="V22" s="1"/>
      <c r="W22" s="1">
        <v>-1.3899999999999999E-2</v>
      </c>
      <c r="AC22" s="2">
        <v>2</v>
      </c>
      <c r="AD22" s="2">
        <v>1</v>
      </c>
      <c r="AE22" s="2">
        <v>1</v>
      </c>
      <c r="AK22" s="2">
        <v>144</v>
      </c>
      <c r="AL22" s="2">
        <v>131.69999999999999</v>
      </c>
    </row>
    <row r="23" spans="2:38" x14ac:dyDescent="0.55000000000000004">
      <c r="B23" s="1">
        <v>6.7</v>
      </c>
      <c r="O23" s="1"/>
      <c r="P23" s="1"/>
      <c r="Q23" s="1"/>
      <c r="R23" s="1"/>
      <c r="S23" s="1"/>
      <c r="T23" s="1"/>
      <c r="U23" s="1"/>
      <c r="V23" s="1"/>
      <c r="W23" s="1">
        <v>-2.2200000000000001E-2</v>
      </c>
      <c r="AC23" s="2">
        <v>2</v>
      </c>
      <c r="AD23" s="2">
        <v>1</v>
      </c>
      <c r="AE23" s="2">
        <v>1</v>
      </c>
      <c r="AK23" s="2">
        <v>145</v>
      </c>
      <c r="AL23" s="2">
        <v>131.6</v>
      </c>
    </row>
    <row r="24" spans="2:38" x14ac:dyDescent="0.55000000000000004">
      <c r="B24" s="1">
        <v>18.600000000000001</v>
      </c>
      <c r="O24" s="1"/>
      <c r="P24" s="1"/>
      <c r="Q24" s="1"/>
      <c r="R24" s="1"/>
      <c r="S24" s="1"/>
      <c r="T24" s="1"/>
      <c r="U24" s="1"/>
      <c r="V24" s="1"/>
      <c r="W24" s="1">
        <v>-3.3300000000000003E-2</v>
      </c>
      <c r="AC24" s="2">
        <v>1</v>
      </c>
      <c r="AD24" s="2">
        <v>1</v>
      </c>
      <c r="AE24" s="2">
        <v>1</v>
      </c>
      <c r="AK24" s="2">
        <v>116</v>
      </c>
      <c r="AL24" s="2">
        <v>130.1</v>
      </c>
    </row>
    <row r="25" spans="2:38" x14ac:dyDescent="0.55000000000000004">
      <c r="B25" s="1">
        <v>3.2</v>
      </c>
      <c r="O25" s="1"/>
      <c r="P25" s="1"/>
      <c r="Q25" s="1"/>
      <c r="R25" s="1"/>
      <c r="S25" s="1"/>
      <c r="T25" s="1"/>
      <c r="U25" s="1"/>
      <c r="V25" s="1"/>
      <c r="W25" s="1">
        <v>-3.4799999999999998E-2</v>
      </c>
      <c r="AC25" s="2">
        <v>1</v>
      </c>
      <c r="AD25" s="2">
        <v>1</v>
      </c>
      <c r="AE25" s="2">
        <v>1</v>
      </c>
      <c r="AK25" s="2">
        <v>140</v>
      </c>
      <c r="AL25" s="2">
        <v>129.1</v>
      </c>
    </row>
    <row r="26" spans="2:38" x14ac:dyDescent="0.55000000000000004">
      <c r="B26" s="1">
        <v>6.2</v>
      </c>
      <c r="O26" s="1"/>
      <c r="P26" s="1"/>
      <c r="Q26" s="1"/>
      <c r="R26" s="1"/>
      <c r="S26" s="1"/>
      <c r="T26" s="1"/>
      <c r="U26" s="1"/>
      <c r="V26" s="1"/>
      <c r="W26" s="1">
        <v>-3.6299999999999999E-2</v>
      </c>
      <c r="AC26" s="2">
        <v>1</v>
      </c>
      <c r="AD26" s="2">
        <v>1</v>
      </c>
      <c r="AE26" s="2">
        <v>1</v>
      </c>
      <c r="AK26" s="2">
        <v>136</v>
      </c>
      <c r="AL26" s="2">
        <v>128.30000000000001</v>
      </c>
    </row>
    <row r="27" spans="2:38" x14ac:dyDescent="0.55000000000000004">
      <c r="B27" s="1">
        <v>6.1</v>
      </c>
      <c r="O27" s="1"/>
      <c r="P27" s="1"/>
      <c r="Q27" s="1"/>
      <c r="R27" s="1"/>
      <c r="S27" s="1"/>
      <c r="T27" s="1"/>
      <c r="U27" s="1"/>
      <c r="V27" s="1"/>
      <c r="W27" s="1">
        <v>-3.6299999999999999E-2</v>
      </c>
      <c r="AC27" s="2">
        <v>1</v>
      </c>
      <c r="AD27" s="2">
        <v>1</v>
      </c>
      <c r="AE27" s="2">
        <v>1</v>
      </c>
      <c r="AK27" s="2">
        <v>126</v>
      </c>
      <c r="AL27" s="2">
        <v>128.30000000000001</v>
      </c>
    </row>
    <row r="28" spans="2:38" x14ac:dyDescent="0.55000000000000004">
      <c r="B28" s="1">
        <v>15.3</v>
      </c>
      <c r="O28" s="1"/>
      <c r="P28" s="1"/>
      <c r="Q28" s="1"/>
      <c r="R28" s="1"/>
      <c r="S28" s="1"/>
      <c r="T28" s="1"/>
      <c r="U28" s="1"/>
      <c r="V28" s="1"/>
      <c r="W28" s="1">
        <v>-4.02E-2</v>
      </c>
      <c r="AC28" s="2">
        <v>1</v>
      </c>
      <c r="AE28" s="2">
        <v>1</v>
      </c>
      <c r="AK28" s="2">
        <v>163</v>
      </c>
      <c r="AL28" s="2">
        <v>127.4</v>
      </c>
    </row>
    <row r="29" spans="2:38" x14ac:dyDescent="0.55000000000000004">
      <c r="B29" s="1">
        <v>10.6</v>
      </c>
      <c r="O29" s="1"/>
      <c r="P29" s="1"/>
      <c r="Q29" s="1"/>
      <c r="R29" s="1"/>
      <c r="S29" s="1"/>
      <c r="T29" s="1"/>
      <c r="U29" s="1"/>
      <c r="V29" s="1"/>
      <c r="W29" s="1">
        <v>-5.8299999999999998E-2</v>
      </c>
      <c r="AC29" s="2">
        <v>1</v>
      </c>
      <c r="AE29" s="2">
        <v>1</v>
      </c>
      <c r="AK29" s="2">
        <v>123</v>
      </c>
      <c r="AL29" s="2">
        <v>127.1</v>
      </c>
    </row>
    <row r="30" spans="2:38" x14ac:dyDescent="0.55000000000000004">
      <c r="B30" s="1">
        <v>1.8</v>
      </c>
      <c r="O30" s="1"/>
      <c r="P30" s="1"/>
      <c r="Q30" s="1"/>
      <c r="R30" s="1"/>
      <c r="S30" s="1"/>
      <c r="T30" s="1"/>
      <c r="U30" s="1"/>
      <c r="V30" s="1"/>
      <c r="W30" s="1">
        <v>-0.11840000000000001</v>
      </c>
      <c r="AC30" s="2">
        <v>1</v>
      </c>
      <c r="AE30" s="2">
        <v>1</v>
      </c>
      <c r="AK30" s="2">
        <v>144</v>
      </c>
      <c r="AL30" s="2">
        <v>126.9</v>
      </c>
    </row>
    <row r="31" spans="2:38" x14ac:dyDescent="0.55000000000000004">
      <c r="B31" s="1">
        <v>5.9</v>
      </c>
      <c r="O31" s="1"/>
      <c r="P31" s="1"/>
      <c r="Q31" s="1"/>
      <c r="R31" s="1"/>
      <c r="S31" s="1"/>
      <c r="T31" s="1"/>
      <c r="U31" s="1"/>
      <c r="V31" s="1"/>
      <c r="W31" s="1">
        <v>-0.14199999999999999</v>
      </c>
      <c r="AC31" s="2">
        <v>1</v>
      </c>
      <c r="AE31" s="2">
        <v>1</v>
      </c>
      <c r="AK31" s="2">
        <v>140</v>
      </c>
      <c r="AL31" s="2">
        <v>126.2</v>
      </c>
    </row>
    <row r="32" spans="2:38" x14ac:dyDescent="0.55000000000000004">
      <c r="B32" s="1">
        <v>9.9</v>
      </c>
      <c r="O32" s="1"/>
      <c r="P32" s="1"/>
      <c r="Q32" s="1"/>
      <c r="R32" s="1"/>
      <c r="S32" s="1"/>
      <c r="T32" s="1"/>
      <c r="U32" s="1"/>
      <c r="V32" s="1"/>
      <c r="AC32" s="2">
        <v>1</v>
      </c>
      <c r="AE32" s="2">
        <v>1</v>
      </c>
      <c r="AK32" s="2">
        <v>137</v>
      </c>
      <c r="AL32" s="2">
        <v>125.9</v>
      </c>
    </row>
    <row r="33" spans="2:38" x14ac:dyDescent="0.55000000000000004">
      <c r="B33" s="1">
        <v>10.6</v>
      </c>
      <c r="O33" s="1"/>
      <c r="P33" s="1"/>
      <c r="Q33" s="1"/>
      <c r="R33" s="1"/>
      <c r="S33" s="1"/>
      <c r="T33" s="1"/>
      <c r="U33" s="1"/>
      <c r="V33" s="1"/>
      <c r="AC33" s="2">
        <v>1</v>
      </c>
      <c r="AE33" s="2">
        <v>1</v>
      </c>
      <c r="AK33" s="2">
        <v>153</v>
      </c>
      <c r="AL33" s="2">
        <v>125.5</v>
      </c>
    </row>
    <row r="34" spans="2:38" x14ac:dyDescent="0.55000000000000004">
      <c r="B34" s="1">
        <v>14.8</v>
      </c>
      <c r="O34" s="1"/>
      <c r="P34" s="1"/>
      <c r="Q34" s="1"/>
      <c r="R34" s="1"/>
      <c r="S34" s="1"/>
      <c r="T34" s="1"/>
      <c r="U34" s="1"/>
      <c r="V34" s="1"/>
      <c r="AC34" s="2">
        <v>1</v>
      </c>
      <c r="AE34" s="2">
        <v>1</v>
      </c>
      <c r="AK34" s="2">
        <v>132</v>
      </c>
      <c r="AL34" s="2">
        <v>122.9</v>
      </c>
    </row>
    <row r="35" spans="2:38" x14ac:dyDescent="0.55000000000000004">
      <c r="B35" s="1">
        <v>5</v>
      </c>
      <c r="O35" s="1"/>
      <c r="P35" s="1"/>
      <c r="Q35" s="1"/>
      <c r="R35" s="1"/>
      <c r="S35" s="1"/>
      <c r="T35" s="1"/>
      <c r="U35" s="1"/>
      <c r="V35" s="1"/>
      <c r="AC35" s="2">
        <v>1</v>
      </c>
      <c r="AE35" s="2">
        <v>1</v>
      </c>
      <c r="AK35" s="2">
        <v>145</v>
      </c>
      <c r="AL35" s="2">
        <v>122.8</v>
      </c>
    </row>
    <row r="36" spans="2:38" x14ac:dyDescent="0.55000000000000004">
      <c r="B36" s="1">
        <v>2.6</v>
      </c>
      <c r="O36" s="1"/>
      <c r="P36" s="1"/>
      <c r="Q36" s="1"/>
      <c r="R36" s="1"/>
      <c r="S36" s="1"/>
      <c r="T36" s="1"/>
      <c r="U36" s="1"/>
      <c r="V36" s="1"/>
      <c r="AC36" s="2">
        <v>1</v>
      </c>
      <c r="AE36" s="2">
        <v>1</v>
      </c>
      <c r="AK36" s="2">
        <v>160</v>
      </c>
      <c r="AL36" s="2">
        <v>122.7</v>
      </c>
    </row>
    <row r="37" spans="2:38" x14ac:dyDescent="0.55000000000000004">
      <c r="B37" s="1">
        <v>4</v>
      </c>
      <c r="O37" s="1"/>
      <c r="P37" s="1"/>
      <c r="Q37" s="1"/>
      <c r="R37" s="1"/>
      <c r="S37" s="1"/>
      <c r="T37" s="1"/>
      <c r="U37" s="1"/>
      <c r="V37" s="1"/>
      <c r="AC37" s="2">
        <v>1</v>
      </c>
      <c r="AE37" s="2">
        <v>1</v>
      </c>
      <c r="AK37" s="2">
        <v>117</v>
      </c>
      <c r="AL37" s="2">
        <v>121.9</v>
      </c>
    </row>
    <row r="38" spans="2:38" x14ac:dyDescent="0.55000000000000004">
      <c r="O38" s="1"/>
      <c r="P38" s="1"/>
      <c r="Q38" s="1"/>
      <c r="R38" s="1"/>
      <c r="S38" s="1"/>
      <c r="T38" s="1"/>
      <c r="U38" s="1"/>
      <c r="V38" s="1"/>
      <c r="AC38" s="2">
        <v>1</v>
      </c>
      <c r="AE38" s="2">
        <v>1</v>
      </c>
      <c r="AK38" s="2">
        <v>143</v>
      </c>
      <c r="AL38" s="2">
        <v>121.3</v>
      </c>
    </row>
    <row r="39" spans="2:38" x14ac:dyDescent="0.55000000000000004">
      <c r="AC39" s="2">
        <v>1</v>
      </c>
      <c r="AE39" s="2">
        <v>1</v>
      </c>
      <c r="AK39" s="2">
        <v>115</v>
      </c>
      <c r="AL39" s="2">
        <v>120.6</v>
      </c>
    </row>
    <row r="40" spans="2:38" x14ac:dyDescent="0.55000000000000004">
      <c r="AC40" s="2">
        <v>1</v>
      </c>
      <c r="AE40" s="2">
        <v>1</v>
      </c>
      <c r="AK40" s="2">
        <v>162</v>
      </c>
      <c r="AL40" s="2">
        <v>120.6</v>
      </c>
    </row>
    <row r="41" spans="2:38" x14ac:dyDescent="0.55000000000000004">
      <c r="AC41" s="2">
        <v>1</v>
      </c>
      <c r="AE41" s="2">
        <v>1</v>
      </c>
      <c r="AK41" s="2">
        <v>165</v>
      </c>
      <c r="AL41" s="2">
        <v>120.3</v>
      </c>
    </row>
    <row r="42" spans="2:38" x14ac:dyDescent="0.55000000000000004">
      <c r="AC42" s="2">
        <v>1</v>
      </c>
      <c r="AE42" s="2">
        <v>1</v>
      </c>
      <c r="AK42" s="2">
        <v>150</v>
      </c>
      <c r="AL42" s="2">
        <v>120.3</v>
      </c>
    </row>
    <row r="43" spans="2:38" x14ac:dyDescent="0.55000000000000004">
      <c r="AC43" s="2">
        <v>1</v>
      </c>
      <c r="AE43" s="2">
        <v>1</v>
      </c>
      <c r="AK43" s="2">
        <v>139</v>
      </c>
      <c r="AL43" s="2">
        <v>119.5</v>
      </c>
    </row>
    <row r="44" spans="2:38" x14ac:dyDescent="0.55000000000000004">
      <c r="AC44" s="2">
        <v>1</v>
      </c>
      <c r="AE44" s="2">
        <v>1</v>
      </c>
      <c r="AK44" s="2">
        <v>155</v>
      </c>
      <c r="AL44" s="2">
        <v>118.9</v>
      </c>
    </row>
    <row r="45" spans="2:38" x14ac:dyDescent="0.55000000000000004">
      <c r="AC45" s="2">
        <v>1</v>
      </c>
      <c r="AE45" s="2">
        <v>1</v>
      </c>
      <c r="AK45" s="2">
        <v>162</v>
      </c>
      <c r="AL45" s="2">
        <v>118.6</v>
      </c>
    </row>
    <row r="46" spans="2:38" x14ac:dyDescent="0.55000000000000004">
      <c r="AC46" s="2">
        <v>1</v>
      </c>
      <c r="AE46" s="2">
        <v>1</v>
      </c>
      <c r="AK46" s="2">
        <v>121</v>
      </c>
      <c r="AL46" s="2">
        <v>118.5</v>
      </c>
    </row>
    <row r="47" spans="2:38" x14ac:dyDescent="0.55000000000000004">
      <c r="AC47" s="2">
        <v>1</v>
      </c>
      <c r="AE47" s="2">
        <v>1</v>
      </c>
      <c r="AK47" s="2">
        <v>121</v>
      </c>
      <c r="AL47" s="2">
        <v>118.3</v>
      </c>
    </row>
    <row r="48" spans="2:38" x14ac:dyDescent="0.55000000000000004">
      <c r="AC48" s="2">
        <v>1</v>
      </c>
      <c r="AE48" s="2">
        <v>1</v>
      </c>
      <c r="AK48" s="2">
        <v>135</v>
      </c>
      <c r="AL48" s="2">
        <v>118.2</v>
      </c>
    </row>
    <row r="49" spans="29:38" x14ac:dyDescent="0.55000000000000004">
      <c r="AC49" s="2">
        <v>1</v>
      </c>
      <c r="AE49" s="2">
        <v>1</v>
      </c>
      <c r="AK49" s="2">
        <v>109</v>
      </c>
      <c r="AL49" s="2">
        <v>118</v>
      </c>
    </row>
    <row r="50" spans="29:38" x14ac:dyDescent="0.55000000000000004">
      <c r="AC50" s="2">
        <v>1</v>
      </c>
      <c r="AE50" s="2">
        <v>1</v>
      </c>
      <c r="AK50" s="2">
        <v>141</v>
      </c>
      <c r="AL50" s="2">
        <v>117.9</v>
      </c>
    </row>
    <row r="51" spans="29:38" x14ac:dyDescent="0.55000000000000004">
      <c r="AC51" s="2">
        <v>1</v>
      </c>
      <c r="AE51" s="2">
        <v>1</v>
      </c>
      <c r="AK51" s="2">
        <v>123</v>
      </c>
      <c r="AL51" s="2">
        <v>117.6</v>
      </c>
    </row>
    <row r="52" spans="29:38" x14ac:dyDescent="0.55000000000000004">
      <c r="AC52" s="2">
        <v>1</v>
      </c>
      <c r="AE52" s="2">
        <v>1</v>
      </c>
      <c r="AK52" s="2">
        <v>146</v>
      </c>
      <c r="AL52" s="2">
        <v>117.5</v>
      </c>
    </row>
    <row r="53" spans="29:38" x14ac:dyDescent="0.55000000000000004">
      <c r="AC53" s="2">
        <v>1</v>
      </c>
      <c r="AE53" s="2">
        <v>1</v>
      </c>
      <c r="AK53" s="2">
        <v>124</v>
      </c>
      <c r="AL53" s="2">
        <v>117.5</v>
      </c>
    </row>
    <row r="54" spans="29:38" x14ac:dyDescent="0.55000000000000004">
      <c r="AC54" s="2">
        <v>1</v>
      </c>
      <c r="AE54" s="2">
        <v>1</v>
      </c>
      <c r="AK54" s="2">
        <v>138</v>
      </c>
      <c r="AL54" s="2">
        <v>117.2</v>
      </c>
    </row>
    <row r="55" spans="29:38" x14ac:dyDescent="0.55000000000000004">
      <c r="AC55" s="2">
        <v>1</v>
      </c>
      <c r="AE55" s="2">
        <v>1</v>
      </c>
      <c r="AK55" s="2">
        <v>157</v>
      </c>
      <c r="AL55" s="2">
        <v>116.9</v>
      </c>
    </row>
    <row r="56" spans="29:38" x14ac:dyDescent="0.55000000000000004">
      <c r="AC56" s="2">
        <v>1</v>
      </c>
      <c r="AE56" s="2">
        <v>1</v>
      </c>
      <c r="AK56" s="2">
        <v>133</v>
      </c>
      <c r="AL56" s="2">
        <v>116.6</v>
      </c>
    </row>
    <row r="57" spans="29:38" x14ac:dyDescent="0.55000000000000004">
      <c r="AC57" s="2">
        <v>1</v>
      </c>
      <c r="AK57" s="2">
        <v>130</v>
      </c>
      <c r="AL57" s="2">
        <v>116</v>
      </c>
    </row>
    <row r="58" spans="29:38" x14ac:dyDescent="0.55000000000000004">
      <c r="AC58" s="2">
        <v>1</v>
      </c>
      <c r="AK58" s="2">
        <v>148</v>
      </c>
      <c r="AL58" s="2">
        <v>115.4</v>
      </c>
    </row>
    <row r="59" spans="29:38" x14ac:dyDescent="0.55000000000000004">
      <c r="AK59" s="2">
        <v>140</v>
      </c>
      <c r="AL59" s="2">
        <v>115.2</v>
      </c>
    </row>
    <row r="60" spans="29:38" x14ac:dyDescent="0.55000000000000004">
      <c r="AK60" s="2">
        <v>153</v>
      </c>
      <c r="AL60" s="2">
        <v>115</v>
      </c>
    </row>
    <row r="61" spans="29:38" x14ac:dyDescent="0.55000000000000004">
      <c r="AK61" s="2">
        <v>139</v>
      </c>
      <c r="AL61" s="2">
        <v>114.4</v>
      </c>
    </row>
    <row r="62" spans="29:38" x14ac:dyDescent="0.55000000000000004">
      <c r="AK62" s="2">
        <v>152</v>
      </c>
      <c r="AL62" s="2">
        <v>114.4</v>
      </c>
    </row>
    <row r="63" spans="29:38" x14ac:dyDescent="0.55000000000000004">
      <c r="AK63" s="2">
        <v>127</v>
      </c>
      <c r="AL63" s="2">
        <v>113.9</v>
      </c>
    </row>
    <row r="64" spans="29:38" x14ac:dyDescent="0.55000000000000004">
      <c r="AK64" s="2">
        <v>142</v>
      </c>
      <c r="AL64" s="2">
        <v>113.8</v>
      </c>
    </row>
    <row r="65" spans="37:38" x14ac:dyDescent="0.55000000000000004">
      <c r="AK65" s="2">
        <v>156</v>
      </c>
      <c r="AL65" s="2">
        <v>113.4</v>
      </c>
    </row>
    <row r="66" spans="37:38" x14ac:dyDescent="0.55000000000000004">
      <c r="AK66" s="2">
        <v>154</v>
      </c>
      <c r="AL66" s="2">
        <v>113.4</v>
      </c>
    </row>
    <row r="67" spans="37:38" x14ac:dyDescent="0.55000000000000004">
      <c r="AK67" s="2">
        <v>117</v>
      </c>
      <c r="AL67" s="2">
        <v>112.9</v>
      </c>
    </row>
    <row r="68" spans="37:38" x14ac:dyDescent="0.55000000000000004">
      <c r="AK68" s="2">
        <v>146</v>
      </c>
      <c r="AL68" s="2">
        <v>112.6</v>
      </c>
    </row>
    <row r="69" spans="37:38" x14ac:dyDescent="0.55000000000000004">
      <c r="AK69" s="2">
        <v>152</v>
      </c>
      <c r="AL69" s="2">
        <v>112.6</v>
      </c>
    </row>
    <row r="70" spans="37:38" x14ac:dyDescent="0.55000000000000004">
      <c r="AK70" s="2">
        <v>144</v>
      </c>
      <c r="AL70" s="2">
        <v>112.5</v>
      </c>
    </row>
    <row r="71" spans="37:38" x14ac:dyDescent="0.55000000000000004">
      <c r="AK71" s="2">
        <v>150</v>
      </c>
      <c r="AL71" s="2">
        <v>112.2</v>
      </c>
    </row>
    <row r="72" spans="37:38" x14ac:dyDescent="0.55000000000000004">
      <c r="AK72" s="2">
        <v>153</v>
      </c>
      <c r="AL72" s="2">
        <v>112.1</v>
      </c>
    </row>
    <row r="73" spans="37:38" x14ac:dyDescent="0.55000000000000004">
      <c r="AK73" s="2">
        <v>176</v>
      </c>
      <c r="AL73" s="2">
        <v>112</v>
      </c>
    </row>
    <row r="74" spans="37:38" x14ac:dyDescent="0.55000000000000004">
      <c r="AK74" s="2">
        <v>94</v>
      </c>
      <c r="AL74" s="2">
        <v>111.5</v>
      </c>
    </row>
    <row r="75" spans="37:38" x14ac:dyDescent="0.55000000000000004">
      <c r="AK75" s="2">
        <v>131</v>
      </c>
      <c r="AL75" s="2">
        <v>111.4</v>
      </c>
    </row>
    <row r="76" spans="37:38" x14ac:dyDescent="0.55000000000000004">
      <c r="AK76" s="2">
        <v>140</v>
      </c>
      <c r="AL76" s="2">
        <v>111.3</v>
      </c>
    </row>
    <row r="77" spans="37:38" x14ac:dyDescent="0.55000000000000004">
      <c r="AK77" s="2">
        <v>158</v>
      </c>
      <c r="AL77" s="2">
        <v>110.9</v>
      </c>
    </row>
    <row r="78" spans="37:38" x14ac:dyDescent="0.55000000000000004">
      <c r="AK78" s="2">
        <v>160</v>
      </c>
      <c r="AL78" s="2">
        <v>110.5</v>
      </c>
    </row>
    <row r="79" spans="37:38" x14ac:dyDescent="0.55000000000000004">
      <c r="AK79" s="2">
        <v>133</v>
      </c>
      <c r="AL79" s="2">
        <v>110.2</v>
      </c>
    </row>
    <row r="80" spans="37:38" x14ac:dyDescent="0.55000000000000004">
      <c r="AK80" s="2">
        <v>148</v>
      </c>
      <c r="AL80" s="2">
        <v>110.1</v>
      </c>
    </row>
    <row r="81" spans="37:38" x14ac:dyDescent="0.55000000000000004">
      <c r="AK81" s="2">
        <v>136</v>
      </c>
      <c r="AL81" s="2">
        <v>110</v>
      </c>
    </row>
    <row r="82" spans="37:38" x14ac:dyDescent="0.55000000000000004">
      <c r="AK82" s="2">
        <v>132</v>
      </c>
      <c r="AL82" s="2">
        <v>109.7</v>
      </c>
    </row>
    <row r="83" spans="37:38" x14ac:dyDescent="0.55000000000000004">
      <c r="AK83" s="2">
        <v>111</v>
      </c>
      <c r="AL83" s="2">
        <v>109.7</v>
      </c>
    </row>
    <row r="84" spans="37:38" x14ac:dyDescent="0.55000000000000004">
      <c r="AK84" s="2">
        <v>178</v>
      </c>
      <c r="AL84" s="2">
        <v>109.6</v>
      </c>
    </row>
    <row r="85" spans="37:38" x14ac:dyDescent="0.55000000000000004">
      <c r="AK85" s="2">
        <v>144</v>
      </c>
      <c r="AL85" s="2">
        <v>109</v>
      </c>
    </row>
    <row r="86" spans="37:38" x14ac:dyDescent="0.55000000000000004">
      <c r="AK86" s="2">
        <v>141</v>
      </c>
      <c r="AL86" s="2">
        <v>109</v>
      </c>
    </row>
    <row r="87" spans="37:38" x14ac:dyDescent="0.55000000000000004">
      <c r="AK87" s="2">
        <v>120</v>
      </c>
      <c r="AL87" s="2">
        <v>108.9</v>
      </c>
    </row>
    <row r="88" spans="37:38" x14ac:dyDescent="0.55000000000000004">
      <c r="AK88" s="2">
        <v>136</v>
      </c>
      <c r="AL88" s="2">
        <v>108.9</v>
      </c>
    </row>
    <row r="89" spans="37:38" x14ac:dyDescent="0.55000000000000004">
      <c r="AK89" s="2">
        <v>142</v>
      </c>
      <c r="AL89" s="2">
        <v>108.7</v>
      </c>
    </row>
    <row r="90" spans="37:38" x14ac:dyDescent="0.55000000000000004">
      <c r="AK90" s="2">
        <v>143</v>
      </c>
      <c r="AL90" s="2">
        <v>108.2</v>
      </c>
    </row>
    <row r="91" spans="37:38" x14ac:dyDescent="0.55000000000000004">
      <c r="AK91" s="2">
        <v>130</v>
      </c>
      <c r="AL91" s="2">
        <v>108.1</v>
      </c>
    </row>
    <row r="92" spans="37:38" x14ac:dyDescent="0.55000000000000004">
      <c r="AK92" s="2">
        <v>137</v>
      </c>
      <c r="AL92" s="2">
        <v>108.1</v>
      </c>
    </row>
    <row r="93" spans="37:38" x14ac:dyDescent="0.55000000000000004">
      <c r="AK93" s="2">
        <v>133</v>
      </c>
      <c r="AL93" s="2">
        <v>108</v>
      </c>
    </row>
    <row r="94" spans="37:38" x14ac:dyDescent="0.55000000000000004">
      <c r="AK94" s="2">
        <v>161</v>
      </c>
      <c r="AL94" s="2">
        <v>107.9</v>
      </c>
    </row>
    <row r="95" spans="37:38" x14ac:dyDescent="0.55000000000000004">
      <c r="AK95" s="2">
        <v>147</v>
      </c>
      <c r="AL95" s="2">
        <v>107.9</v>
      </c>
    </row>
    <row r="96" spans="37:38" x14ac:dyDescent="0.55000000000000004">
      <c r="AK96" s="2">
        <v>145</v>
      </c>
      <c r="AL96" s="2">
        <v>107.6</v>
      </c>
    </row>
    <row r="97" spans="37:38" x14ac:dyDescent="0.55000000000000004">
      <c r="AK97" s="2">
        <v>134</v>
      </c>
      <c r="AL97" s="2">
        <v>107.6</v>
      </c>
    </row>
    <row r="98" spans="37:38" x14ac:dyDescent="0.55000000000000004">
      <c r="AK98" s="2">
        <v>145</v>
      </c>
      <c r="AL98" s="2">
        <v>107.4</v>
      </c>
    </row>
    <row r="99" spans="37:38" x14ac:dyDescent="0.55000000000000004">
      <c r="AK99" s="2">
        <v>173</v>
      </c>
      <c r="AL99" s="2">
        <v>107.4</v>
      </c>
    </row>
    <row r="100" spans="37:38" x14ac:dyDescent="0.55000000000000004">
      <c r="AK100" s="2">
        <v>143</v>
      </c>
      <c r="AL100" s="2">
        <v>107.3</v>
      </c>
    </row>
    <row r="101" spans="37:38" x14ac:dyDescent="0.55000000000000004">
      <c r="AK101" s="2">
        <v>146</v>
      </c>
      <c r="AL101" s="2">
        <v>107.3</v>
      </c>
    </row>
    <row r="102" spans="37:38" x14ac:dyDescent="0.55000000000000004">
      <c r="AK102" s="2">
        <v>168</v>
      </c>
      <c r="AL102" s="2">
        <v>107.3</v>
      </c>
    </row>
    <row r="103" spans="37:38" x14ac:dyDescent="0.55000000000000004">
      <c r="AK103" s="2">
        <v>146</v>
      </c>
      <c r="AL103" s="2">
        <v>106.9</v>
      </c>
    </row>
    <row r="104" spans="37:38" x14ac:dyDescent="0.55000000000000004">
      <c r="AK104" s="2">
        <v>161</v>
      </c>
      <c r="AL104" s="2">
        <v>106.9</v>
      </c>
    </row>
    <row r="105" spans="37:38" x14ac:dyDescent="0.55000000000000004">
      <c r="AK105" s="2">
        <v>120</v>
      </c>
      <c r="AL105" s="2">
        <v>106.5</v>
      </c>
    </row>
    <row r="106" spans="37:38" x14ac:dyDescent="0.55000000000000004">
      <c r="AK106" s="2">
        <v>152</v>
      </c>
      <c r="AL106" s="2">
        <v>106.5</v>
      </c>
    </row>
    <row r="107" spans="37:38" x14ac:dyDescent="0.55000000000000004">
      <c r="AK107" s="2">
        <v>151</v>
      </c>
      <c r="AL107" s="2">
        <v>106</v>
      </c>
    </row>
    <row r="108" spans="37:38" x14ac:dyDescent="0.55000000000000004">
      <c r="AK108" s="2">
        <v>146</v>
      </c>
      <c r="AL108" s="2">
        <v>106</v>
      </c>
    </row>
    <row r="109" spans="37:38" x14ac:dyDescent="0.55000000000000004">
      <c r="AK109" s="2">
        <v>129</v>
      </c>
      <c r="AL109" s="2">
        <v>106</v>
      </c>
    </row>
    <row r="110" spans="37:38" x14ac:dyDescent="0.55000000000000004">
      <c r="AK110" s="2">
        <v>135</v>
      </c>
      <c r="AL110" s="2">
        <v>105.7</v>
      </c>
    </row>
    <row r="111" spans="37:38" x14ac:dyDescent="0.55000000000000004">
      <c r="AK111" s="2">
        <v>145</v>
      </c>
      <c r="AL111" s="2">
        <v>105.3</v>
      </c>
    </row>
    <row r="112" spans="37:38" x14ac:dyDescent="0.55000000000000004">
      <c r="AK112" s="2">
        <v>137</v>
      </c>
      <c r="AL112" s="2">
        <v>105.2</v>
      </c>
    </row>
    <row r="113" spans="37:38" x14ac:dyDescent="0.55000000000000004">
      <c r="AK113" s="2">
        <v>152</v>
      </c>
      <c r="AL113" s="2">
        <v>105</v>
      </c>
    </row>
    <row r="114" spans="37:38" x14ac:dyDescent="0.55000000000000004">
      <c r="AK114" s="2">
        <v>150</v>
      </c>
      <c r="AL114" s="2">
        <v>104.7</v>
      </c>
    </row>
    <row r="115" spans="37:38" x14ac:dyDescent="0.55000000000000004">
      <c r="AK115" s="2">
        <v>93</v>
      </c>
      <c r="AL115" s="2">
        <v>104.7</v>
      </c>
    </row>
    <row r="116" spans="37:38" x14ac:dyDescent="0.55000000000000004">
      <c r="AK116" s="2">
        <v>151</v>
      </c>
      <c r="AL116" s="2">
        <v>104.7</v>
      </c>
    </row>
    <row r="117" spans="37:38" x14ac:dyDescent="0.55000000000000004">
      <c r="AK117" s="2">
        <v>152</v>
      </c>
      <c r="AL117" s="2">
        <v>104.3</v>
      </c>
    </row>
    <row r="118" spans="37:38" x14ac:dyDescent="0.55000000000000004">
      <c r="AK118" s="2">
        <v>118</v>
      </c>
      <c r="AL118" s="2">
        <v>104.2</v>
      </c>
    </row>
    <row r="119" spans="37:38" x14ac:dyDescent="0.55000000000000004">
      <c r="AK119" s="2">
        <v>129</v>
      </c>
      <c r="AL119" s="2">
        <v>104.1</v>
      </c>
    </row>
    <row r="120" spans="37:38" x14ac:dyDescent="0.55000000000000004">
      <c r="AK120" s="2">
        <v>146</v>
      </c>
      <c r="AL120" s="2">
        <v>103.4</v>
      </c>
    </row>
    <row r="121" spans="37:38" x14ac:dyDescent="0.55000000000000004">
      <c r="AK121" s="2">
        <v>142</v>
      </c>
      <c r="AL121" s="2">
        <v>103.3</v>
      </c>
    </row>
    <row r="122" spans="37:38" x14ac:dyDescent="0.55000000000000004">
      <c r="AK122" s="2">
        <v>152</v>
      </c>
      <c r="AL122" s="2">
        <v>103.2</v>
      </c>
    </row>
    <row r="123" spans="37:38" x14ac:dyDescent="0.55000000000000004">
      <c r="AK123" s="2">
        <v>118</v>
      </c>
      <c r="AL123" s="2">
        <v>103.1</v>
      </c>
    </row>
    <row r="124" spans="37:38" x14ac:dyDescent="0.55000000000000004">
      <c r="AK124" s="2">
        <v>114</v>
      </c>
      <c r="AL124" s="2">
        <v>103.1</v>
      </c>
    </row>
    <row r="125" spans="37:38" x14ac:dyDescent="0.55000000000000004">
      <c r="AK125" s="2">
        <v>163</v>
      </c>
      <c r="AL125" s="2">
        <v>102.9</v>
      </c>
    </row>
    <row r="126" spans="37:38" x14ac:dyDescent="0.55000000000000004">
      <c r="AK126" s="2">
        <v>139</v>
      </c>
      <c r="AL126" s="2">
        <v>102.9</v>
      </c>
    </row>
    <row r="127" spans="37:38" x14ac:dyDescent="0.55000000000000004">
      <c r="AK127" s="2">
        <v>117</v>
      </c>
      <c r="AL127" s="2">
        <v>102.8</v>
      </c>
    </row>
    <row r="128" spans="37:38" x14ac:dyDescent="0.55000000000000004">
      <c r="AK128" s="2">
        <v>137</v>
      </c>
      <c r="AL128" s="2">
        <v>102.7</v>
      </c>
    </row>
    <row r="129" spans="37:38" x14ac:dyDescent="0.55000000000000004">
      <c r="AK129" s="2">
        <v>121</v>
      </c>
      <c r="AL129" s="2">
        <v>102.5</v>
      </c>
    </row>
    <row r="130" spans="37:38" x14ac:dyDescent="0.55000000000000004">
      <c r="AK130" s="2">
        <v>125</v>
      </c>
      <c r="AL130" s="2">
        <v>102.5</v>
      </c>
    </row>
    <row r="131" spans="37:38" x14ac:dyDescent="0.55000000000000004">
      <c r="AK131" s="2">
        <v>160</v>
      </c>
      <c r="AL131" s="2">
        <v>102.2</v>
      </c>
    </row>
    <row r="132" spans="37:38" x14ac:dyDescent="0.55000000000000004">
      <c r="AK132" s="2">
        <v>151</v>
      </c>
      <c r="AL132" s="2">
        <v>102.1</v>
      </c>
    </row>
    <row r="133" spans="37:38" x14ac:dyDescent="0.55000000000000004">
      <c r="AK133" s="2">
        <v>141</v>
      </c>
      <c r="AL133" s="2">
        <v>102</v>
      </c>
    </row>
    <row r="134" spans="37:38" x14ac:dyDescent="0.55000000000000004">
      <c r="AK134" s="2">
        <v>120</v>
      </c>
      <c r="AL134" s="2">
        <v>101.8</v>
      </c>
    </row>
    <row r="135" spans="37:38" x14ac:dyDescent="0.55000000000000004">
      <c r="AK135" s="2">
        <v>145</v>
      </c>
      <c r="AL135" s="2">
        <v>101.7</v>
      </c>
    </row>
    <row r="136" spans="37:38" x14ac:dyDescent="0.55000000000000004">
      <c r="AK136" s="2">
        <v>142</v>
      </c>
      <c r="AL136" s="2">
        <v>101.5</v>
      </c>
    </row>
    <row r="137" spans="37:38" x14ac:dyDescent="0.55000000000000004">
      <c r="AK137" s="2">
        <v>126</v>
      </c>
      <c r="AL137" s="2">
        <v>101.3</v>
      </c>
    </row>
    <row r="138" spans="37:38" x14ac:dyDescent="0.55000000000000004">
      <c r="AK138" s="2">
        <v>133</v>
      </c>
      <c r="AL138" s="2">
        <v>101.2</v>
      </c>
    </row>
    <row r="139" spans="37:38" x14ac:dyDescent="0.55000000000000004">
      <c r="AK139" s="2">
        <v>128</v>
      </c>
      <c r="AL139" s="2">
        <v>101.2</v>
      </c>
    </row>
    <row r="140" spans="37:38" x14ac:dyDescent="0.55000000000000004">
      <c r="AK140" s="2">
        <v>150</v>
      </c>
      <c r="AL140" s="2">
        <v>101.2</v>
      </c>
    </row>
    <row r="141" spans="37:38" x14ac:dyDescent="0.55000000000000004">
      <c r="AK141" s="2">
        <v>118</v>
      </c>
      <c r="AL141" s="2">
        <v>100.9</v>
      </c>
    </row>
    <row r="142" spans="37:38" x14ac:dyDescent="0.55000000000000004">
      <c r="AK142" s="2">
        <v>126</v>
      </c>
      <c r="AL142" s="2">
        <v>100.9</v>
      </c>
    </row>
    <row r="143" spans="37:38" x14ac:dyDescent="0.55000000000000004">
      <c r="AK143" s="2">
        <v>155</v>
      </c>
      <c r="AL143" s="2">
        <v>100.8</v>
      </c>
    </row>
    <row r="144" spans="37:38" x14ac:dyDescent="0.55000000000000004">
      <c r="AK144" s="2">
        <v>91</v>
      </c>
      <c r="AL144" s="2">
        <v>100.6</v>
      </c>
    </row>
    <row r="145" spans="37:38" x14ac:dyDescent="0.55000000000000004">
      <c r="AK145" s="2">
        <v>131</v>
      </c>
      <c r="AL145" s="2">
        <v>100.5</v>
      </c>
    </row>
    <row r="146" spans="37:38" x14ac:dyDescent="0.55000000000000004">
      <c r="AK146" s="2">
        <v>146</v>
      </c>
      <c r="AL146" s="2">
        <v>100.5</v>
      </c>
    </row>
    <row r="147" spans="37:38" x14ac:dyDescent="0.55000000000000004">
      <c r="AK147" s="2">
        <v>136</v>
      </c>
      <c r="AL147" s="2">
        <v>100.1</v>
      </c>
    </row>
    <row r="148" spans="37:38" x14ac:dyDescent="0.55000000000000004">
      <c r="AK148" s="2">
        <v>138</v>
      </c>
      <c r="AL148" s="2">
        <v>100</v>
      </c>
    </row>
    <row r="149" spans="37:38" x14ac:dyDescent="0.55000000000000004">
      <c r="AK149" s="2">
        <v>149</v>
      </c>
      <c r="AL149" s="2">
        <v>99.7</v>
      </c>
    </row>
    <row r="150" spans="37:38" x14ac:dyDescent="0.55000000000000004">
      <c r="AK150" s="2">
        <v>135</v>
      </c>
      <c r="AL150" s="2">
        <v>99.5</v>
      </c>
    </row>
    <row r="151" spans="37:38" x14ac:dyDescent="0.55000000000000004">
      <c r="AK151" s="2">
        <v>132</v>
      </c>
      <c r="AL151" s="2">
        <v>99.2</v>
      </c>
    </row>
    <row r="152" spans="37:38" x14ac:dyDescent="0.55000000000000004">
      <c r="AK152" s="2">
        <v>112</v>
      </c>
      <c r="AL152" s="2">
        <v>99.2</v>
      </c>
    </row>
    <row r="153" spans="37:38" x14ac:dyDescent="0.55000000000000004">
      <c r="AK153" s="2">
        <v>154</v>
      </c>
      <c r="AL153" s="2">
        <v>98.8</v>
      </c>
    </row>
    <row r="154" spans="37:38" x14ac:dyDescent="0.55000000000000004">
      <c r="AK154" s="2">
        <v>171</v>
      </c>
      <c r="AL154" s="2">
        <v>98.7</v>
      </c>
    </row>
    <row r="155" spans="37:38" x14ac:dyDescent="0.55000000000000004">
      <c r="AK155" s="2">
        <v>133</v>
      </c>
      <c r="AL155" s="2">
        <v>98.7</v>
      </c>
    </row>
    <row r="156" spans="37:38" x14ac:dyDescent="0.55000000000000004">
      <c r="AK156" s="2">
        <v>112</v>
      </c>
      <c r="AL156" s="2">
        <v>98.4</v>
      </c>
    </row>
    <row r="157" spans="37:38" x14ac:dyDescent="0.55000000000000004">
      <c r="AK157" s="2">
        <v>118</v>
      </c>
      <c r="AL157" s="2">
        <v>98.3</v>
      </c>
    </row>
    <row r="158" spans="37:38" x14ac:dyDescent="0.55000000000000004">
      <c r="AK158" s="2">
        <v>136</v>
      </c>
      <c r="AL158" s="2">
        <v>98.1</v>
      </c>
    </row>
    <row r="159" spans="37:38" x14ac:dyDescent="0.55000000000000004">
      <c r="AK159" s="2">
        <v>139</v>
      </c>
      <c r="AL159" s="2">
        <v>98.1</v>
      </c>
    </row>
    <row r="160" spans="37:38" x14ac:dyDescent="0.55000000000000004">
      <c r="AK160" s="2">
        <v>142</v>
      </c>
      <c r="AL160" s="2">
        <v>98</v>
      </c>
    </row>
    <row r="161" spans="37:38" x14ac:dyDescent="0.55000000000000004">
      <c r="AK161" s="2">
        <v>119</v>
      </c>
      <c r="AL161" s="2">
        <v>97.9</v>
      </c>
    </row>
    <row r="162" spans="37:38" x14ac:dyDescent="0.55000000000000004">
      <c r="AK162" s="2">
        <v>140</v>
      </c>
      <c r="AL162" s="2">
        <v>97.8</v>
      </c>
    </row>
    <row r="163" spans="37:38" x14ac:dyDescent="0.55000000000000004">
      <c r="AK163" s="2">
        <v>143</v>
      </c>
      <c r="AL163" s="2">
        <v>97.8</v>
      </c>
    </row>
    <row r="164" spans="37:38" x14ac:dyDescent="0.55000000000000004">
      <c r="AK164" s="2">
        <v>147</v>
      </c>
      <c r="AL164" s="2">
        <v>97.6</v>
      </c>
    </row>
    <row r="165" spans="37:38" x14ac:dyDescent="0.55000000000000004">
      <c r="AK165" s="2">
        <v>150</v>
      </c>
      <c r="AL165" s="2">
        <v>97.6</v>
      </c>
    </row>
    <row r="166" spans="37:38" x14ac:dyDescent="0.55000000000000004">
      <c r="AK166" s="2">
        <v>146</v>
      </c>
      <c r="AL166" s="2">
        <v>97.5</v>
      </c>
    </row>
    <row r="167" spans="37:38" x14ac:dyDescent="0.55000000000000004">
      <c r="AK167" s="2">
        <v>139</v>
      </c>
      <c r="AL167" s="2">
        <v>97.4</v>
      </c>
    </row>
    <row r="168" spans="37:38" x14ac:dyDescent="0.55000000000000004">
      <c r="AK168" s="2">
        <v>155</v>
      </c>
      <c r="AL168" s="2">
        <v>97.3</v>
      </c>
    </row>
    <row r="169" spans="37:38" x14ac:dyDescent="0.55000000000000004">
      <c r="AK169" s="2">
        <v>112</v>
      </c>
      <c r="AL169" s="2">
        <v>97.1</v>
      </c>
    </row>
    <row r="170" spans="37:38" x14ac:dyDescent="0.55000000000000004">
      <c r="AK170" s="2">
        <v>143</v>
      </c>
      <c r="AL170" s="2">
        <v>97.1</v>
      </c>
    </row>
    <row r="171" spans="37:38" x14ac:dyDescent="0.55000000000000004">
      <c r="AK171" s="2">
        <v>120</v>
      </c>
      <c r="AL171" s="2">
        <v>97.1</v>
      </c>
    </row>
    <row r="172" spans="37:38" x14ac:dyDescent="0.55000000000000004">
      <c r="AK172" s="2">
        <v>141</v>
      </c>
      <c r="AL172" s="2">
        <v>97.1</v>
      </c>
    </row>
    <row r="173" spans="37:38" x14ac:dyDescent="0.55000000000000004">
      <c r="AK173" s="2">
        <v>127</v>
      </c>
      <c r="AL173" s="2">
        <v>97</v>
      </c>
    </row>
    <row r="174" spans="37:38" x14ac:dyDescent="0.55000000000000004">
      <c r="AK174" s="2">
        <v>165</v>
      </c>
      <c r="AL174" s="2">
        <v>97</v>
      </c>
    </row>
    <row r="175" spans="37:38" x14ac:dyDescent="0.55000000000000004">
      <c r="AK175" s="2">
        <v>134</v>
      </c>
      <c r="AL175" s="2">
        <v>97</v>
      </c>
    </row>
    <row r="176" spans="37:38" x14ac:dyDescent="0.55000000000000004">
      <c r="AK176" s="2">
        <v>156</v>
      </c>
      <c r="AL176" s="2">
        <v>97</v>
      </c>
    </row>
    <row r="177" spans="37:38" x14ac:dyDescent="0.55000000000000004">
      <c r="AK177" s="2">
        <v>142</v>
      </c>
      <c r="AL177" s="2">
        <v>96.7</v>
      </c>
    </row>
    <row r="178" spans="37:38" x14ac:dyDescent="0.55000000000000004">
      <c r="AK178" s="2">
        <v>155</v>
      </c>
      <c r="AL178" s="2">
        <v>96.5</v>
      </c>
    </row>
    <row r="179" spans="37:38" x14ac:dyDescent="0.55000000000000004">
      <c r="AK179" s="2">
        <v>133</v>
      </c>
      <c r="AL179" s="2">
        <v>96.5</v>
      </c>
    </row>
    <row r="180" spans="37:38" x14ac:dyDescent="0.55000000000000004">
      <c r="AK180" s="2">
        <v>154</v>
      </c>
      <c r="AL180" s="2">
        <v>96.3</v>
      </c>
    </row>
    <row r="181" spans="37:38" x14ac:dyDescent="0.55000000000000004">
      <c r="AK181" s="2">
        <v>146</v>
      </c>
      <c r="AL181" s="2">
        <v>96.3</v>
      </c>
    </row>
    <row r="182" spans="37:38" x14ac:dyDescent="0.55000000000000004">
      <c r="AK182" s="2">
        <v>89</v>
      </c>
      <c r="AL182" s="2">
        <v>96.3</v>
      </c>
    </row>
    <row r="183" spans="37:38" x14ac:dyDescent="0.55000000000000004">
      <c r="AK183" s="2">
        <v>140</v>
      </c>
      <c r="AL183" s="2">
        <v>96.2</v>
      </c>
    </row>
    <row r="184" spans="37:38" x14ac:dyDescent="0.55000000000000004">
      <c r="AK184" s="2">
        <v>129</v>
      </c>
      <c r="AL184" s="2">
        <v>96.2</v>
      </c>
    </row>
    <row r="185" spans="37:38" x14ac:dyDescent="0.55000000000000004">
      <c r="AK185" s="2">
        <v>137</v>
      </c>
      <c r="AL185" s="2">
        <v>96.2</v>
      </c>
    </row>
    <row r="186" spans="37:38" x14ac:dyDescent="0.55000000000000004">
      <c r="AK186" s="2">
        <v>146</v>
      </c>
      <c r="AL186" s="2">
        <v>96.2</v>
      </c>
    </row>
    <row r="187" spans="37:38" x14ac:dyDescent="0.55000000000000004">
      <c r="AK187" s="2">
        <v>116</v>
      </c>
      <c r="AL187" s="2">
        <v>96.1</v>
      </c>
    </row>
    <row r="188" spans="37:38" x14ac:dyDescent="0.55000000000000004">
      <c r="AK188" s="2">
        <v>135</v>
      </c>
      <c r="AL188" s="2">
        <v>95.9</v>
      </c>
    </row>
    <row r="189" spans="37:38" x14ac:dyDescent="0.55000000000000004">
      <c r="AK189" s="2">
        <v>154</v>
      </c>
      <c r="AL189" s="2">
        <v>95.9</v>
      </c>
    </row>
    <row r="190" spans="37:38" x14ac:dyDescent="0.55000000000000004">
      <c r="AK190" s="2">
        <v>144</v>
      </c>
      <c r="AL190" s="2">
        <v>95.7</v>
      </c>
    </row>
    <row r="191" spans="37:38" x14ac:dyDescent="0.55000000000000004">
      <c r="AK191" s="2">
        <v>139</v>
      </c>
      <c r="AL191" s="2">
        <v>95.5</v>
      </c>
    </row>
    <row r="192" spans="37:38" x14ac:dyDescent="0.55000000000000004">
      <c r="AK192" s="2">
        <v>157</v>
      </c>
      <c r="AL192" s="2">
        <v>95.4</v>
      </c>
    </row>
    <row r="193" spans="37:38" x14ac:dyDescent="0.55000000000000004">
      <c r="AK193" s="2">
        <v>113</v>
      </c>
      <c r="AL193" s="2">
        <v>95.4</v>
      </c>
    </row>
    <row r="194" spans="37:38" x14ac:dyDescent="0.55000000000000004">
      <c r="AK194" s="2">
        <v>143</v>
      </c>
      <c r="AL194" s="2">
        <v>95.4</v>
      </c>
    </row>
    <row r="195" spans="37:38" x14ac:dyDescent="0.55000000000000004">
      <c r="AK195" s="2">
        <v>145</v>
      </c>
      <c r="AL195" s="2">
        <v>95.1</v>
      </c>
    </row>
    <row r="196" spans="37:38" x14ac:dyDescent="0.55000000000000004">
      <c r="AK196" s="2">
        <v>126</v>
      </c>
      <c r="AL196" s="2">
        <v>95</v>
      </c>
    </row>
    <row r="197" spans="37:38" x14ac:dyDescent="0.55000000000000004">
      <c r="AK197" s="2">
        <v>138</v>
      </c>
      <c r="AL197" s="2">
        <v>95</v>
      </c>
    </row>
    <row r="198" spans="37:38" x14ac:dyDescent="0.55000000000000004">
      <c r="AK198" s="2">
        <v>143</v>
      </c>
      <c r="AL198" s="2">
        <v>95</v>
      </c>
    </row>
    <row r="199" spans="37:38" x14ac:dyDescent="0.55000000000000004">
      <c r="AK199" s="2">
        <v>145</v>
      </c>
      <c r="AL199" s="2">
        <v>95</v>
      </c>
    </row>
    <row r="200" spans="37:38" x14ac:dyDescent="0.55000000000000004">
      <c r="AK200" s="2">
        <v>143</v>
      </c>
      <c r="AL200" s="2">
        <v>94.9</v>
      </c>
    </row>
    <row r="201" spans="37:38" x14ac:dyDescent="0.55000000000000004">
      <c r="AK201" s="2">
        <v>158</v>
      </c>
      <c r="AL201" s="2">
        <v>94.9</v>
      </c>
    </row>
    <row r="202" spans="37:38" x14ac:dyDescent="0.55000000000000004">
      <c r="AK202" s="2">
        <v>131</v>
      </c>
      <c r="AL202" s="2">
        <v>94.5</v>
      </c>
    </row>
    <row r="203" spans="37:38" x14ac:dyDescent="0.55000000000000004">
      <c r="AK203" s="2">
        <v>131</v>
      </c>
      <c r="AL203" s="2">
        <v>94.4</v>
      </c>
    </row>
    <row r="204" spans="37:38" x14ac:dyDescent="0.55000000000000004">
      <c r="AK204" s="2">
        <v>147</v>
      </c>
      <c r="AL204" s="2">
        <v>94.3</v>
      </c>
    </row>
    <row r="205" spans="37:38" x14ac:dyDescent="0.55000000000000004">
      <c r="AK205" s="2">
        <v>147</v>
      </c>
      <c r="AL205" s="2">
        <v>94.3</v>
      </c>
    </row>
    <row r="206" spans="37:38" x14ac:dyDescent="0.55000000000000004">
      <c r="AK206" s="2">
        <v>136</v>
      </c>
      <c r="AL206" s="2">
        <v>94.2</v>
      </c>
    </row>
    <row r="207" spans="37:38" x14ac:dyDescent="0.55000000000000004">
      <c r="AK207" s="2">
        <v>148</v>
      </c>
      <c r="AL207" s="2">
        <v>94.1</v>
      </c>
    </row>
    <row r="208" spans="37:38" x14ac:dyDescent="0.55000000000000004">
      <c r="AK208" s="2">
        <v>146</v>
      </c>
      <c r="AL208" s="2">
        <v>94.1</v>
      </c>
    </row>
    <row r="209" spans="37:38" x14ac:dyDescent="0.55000000000000004">
      <c r="AK209" s="2">
        <v>141</v>
      </c>
      <c r="AL209" s="2">
        <v>94</v>
      </c>
    </row>
    <row r="210" spans="37:38" x14ac:dyDescent="0.55000000000000004">
      <c r="AK210" s="2">
        <v>133</v>
      </c>
      <c r="AL210" s="2">
        <v>94</v>
      </c>
    </row>
    <row r="211" spans="37:38" x14ac:dyDescent="0.55000000000000004">
      <c r="AK211" s="2">
        <v>112</v>
      </c>
      <c r="AL211" s="2">
        <v>93.9</v>
      </c>
    </row>
    <row r="212" spans="37:38" x14ac:dyDescent="0.55000000000000004">
      <c r="AK212" s="2">
        <v>126</v>
      </c>
      <c r="AL212" s="2">
        <v>93.9</v>
      </c>
    </row>
    <row r="213" spans="37:38" x14ac:dyDescent="0.55000000000000004">
      <c r="AK213" s="2">
        <v>138</v>
      </c>
      <c r="AL213" s="2">
        <v>93.8</v>
      </c>
    </row>
    <row r="214" spans="37:38" x14ac:dyDescent="0.55000000000000004">
      <c r="AK214" s="2">
        <v>158</v>
      </c>
      <c r="AL214" s="2">
        <v>93.7</v>
      </c>
    </row>
    <row r="215" spans="37:38" x14ac:dyDescent="0.55000000000000004">
      <c r="AK215" s="2">
        <v>157</v>
      </c>
      <c r="AL215" s="2">
        <v>93.5</v>
      </c>
    </row>
    <row r="216" spans="37:38" x14ac:dyDescent="0.55000000000000004">
      <c r="AK216" s="2">
        <v>139</v>
      </c>
      <c r="AL216" s="2">
        <v>93.1</v>
      </c>
    </row>
    <row r="217" spans="37:38" x14ac:dyDescent="0.55000000000000004">
      <c r="AK217" s="2">
        <v>136</v>
      </c>
      <c r="AL217" s="2">
        <v>93.1</v>
      </c>
    </row>
    <row r="218" spans="37:38" x14ac:dyDescent="0.55000000000000004">
      <c r="AK218" s="2">
        <v>127</v>
      </c>
      <c r="AL218" s="2">
        <v>92.9</v>
      </c>
    </row>
    <row r="219" spans="37:38" x14ac:dyDescent="0.55000000000000004">
      <c r="AK219" s="2">
        <v>151</v>
      </c>
      <c r="AL219" s="2">
        <v>92.7</v>
      </c>
    </row>
    <row r="220" spans="37:38" x14ac:dyDescent="0.55000000000000004">
      <c r="AK220" s="2">
        <v>151</v>
      </c>
      <c r="AL220" s="2">
        <v>92.6</v>
      </c>
    </row>
    <row r="221" spans="37:38" x14ac:dyDescent="0.55000000000000004">
      <c r="AK221" s="2">
        <v>153</v>
      </c>
      <c r="AL221" s="2">
        <v>92.4</v>
      </c>
    </row>
    <row r="222" spans="37:38" x14ac:dyDescent="0.55000000000000004">
      <c r="AK222" s="2">
        <v>132</v>
      </c>
      <c r="AL222" s="2">
        <v>92.4</v>
      </c>
    </row>
    <row r="223" spans="37:38" x14ac:dyDescent="0.55000000000000004">
      <c r="AK223" s="2">
        <v>106</v>
      </c>
      <c r="AL223" s="2">
        <v>92.3</v>
      </c>
    </row>
    <row r="224" spans="37:38" x14ac:dyDescent="0.55000000000000004">
      <c r="AK224" s="2">
        <v>155</v>
      </c>
      <c r="AL224" s="2">
        <v>92.3</v>
      </c>
    </row>
    <row r="225" spans="37:38" x14ac:dyDescent="0.55000000000000004">
      <c r="AK225" s="2">
        <v>143</v>
      </c>
      <c r="AL225" s="2">
        <v>92.1</v>
      </c>
    </row>
    <row r="226" spans="37:38" x14ac:dyDescent="0.55000000000000004">
      <c r="AK226" s="2">
        <v>139</v>
      </c>
      <c r="AL226" s="2">
        <v>92.1</v>
      </c>
    </row>
    <row r="227" spans="37:38" x14ac:dyDescent="0.55000000000000004">
      <c r="AK227" s="2">
        <v>154</v>
      </c>
      <c r="AL227" s="2">
        <v>91.9</v>
      </c>
    </row>
    <row r="228" spans="37:38" x14ac:dyDescent="0.55000000000000004">
      <c r="AK228" s="2">
        <v>156</v>
      </c>
      <c r="AL228" s="2">
        <v>91.5</v>
      </c>
    </row>
    <row r="229" spans="37:38" x14ac:dyDescent="0.55000000000000004">
      <c r="AK229" s="2">
        <v>135</v>
      </c>
      <c r="AL229" s="2">
        <v>91.4</v>
      </c>
    </row>
    <row r="230" spans="37:38" x14ac:dyDescent="0.55000000000000004">
      <c r="AK230" s="2">
        <v>141</v>
      </c>
      <c r="AL230" s="2">
        <v>91.4</v>
      </c>
    </row>
    <row r="231" spans="37:38" x14ac:dyDescent="0.55000000000000004">
      <c r="AK231" s="2">
        <v>147</v>
      </c>
      <c r="AL231" s="2">
        <v>91.1</v>
      </c>
    </row>
    <row r="232" spans="37:38" x14ac:dyDescent="0.55000000000000004">
      <c r="AK232" s="2">
        <v>129</v>
      </c>
      <c r="AL232" s="2">
        <v>91</v>
      </c>
    </row>
    <row r="233" spans="37:38" x14ac:dyDescent="0.55000000000000004">
      <c r="AK233" s="2">
        <v>130</v>
      </c>
      <c r="AL233" s="2">
        <v>90.8</v>
      </c>
    </row>
    <row r="234" spans="37:38" x14ac:dyDescent="0.55000000000000004">
      <c r="AK234" s="2">
        <v>162</v>
      </c>
      <c r="AL234" s="2">
        <v>90.8</v>
      </c>
    </row>
    <row r="235" spans="37:38" x14ac:dyDescent="0.55000000000000004">
      <c r="AK235" s="2">
        <v>169</v>
      </c>
      <c r="AL235" s="2">
        <v>90.8</v>
      </c>
    </row>
    <row r="236" spans="37:38" x14ac:dyDescent="0.55000000000000004">
      <c r="AK236" s="2">
        <v>163</v>
      </c>
      <c r="AL236" s="2">
        <v>90.8</v>
      </c>
    </row>
    <row r="237" spans="37:38" x14ac:dyDescent="0.55000000000000004">
      <c r="AK237" s="2">
        <v>130</v>
      </c>
      <c r="AL237" s="2">
        <v>90.8</v>
      </c>
    </row>
    <row r="238" spans="37:38" x14ac:dyDescent="0.55000000000000004">
      <c r="AK238" s="2">
        <v>121</v>
      </c>
      <c r="AL238" s="2">
        <v>90.5</v>
      </c>
    </row>
    <row r="239" spans="37:38" x14ac:dyDescent="0.55000000000000004">
      <c r="AK239" s="2">
        <v>133</v>
      </c>
      <c r="AL239" s="2">
        <v>90.5</v>
      </c>
    </row>
    <row r="240" spans="37:38" x14ac:dyDescent="0.55000000000000004">
      <c r="AK240" s="2">
        <v>99</v>
      </c>
      <c r="AL240" s="2">
        <v>90.4</v>
      </c>
    </row>
    <row r="241" spans="37:38" x14ac:dyDescent="0.55000000000000004">
      <c r="AK241" s="2">
        <v>138</v>
      </c>
      <c r="AL241" s="2">
        <v>90.4</v>
      </c>
    </row>
    <row r="242" spans="37:38" x14ac:dyDescent="0.55000000000000004">
      <c r="AK242" s="2">
        <v>123</v>
      </c>
      <c r="AL242" s="2">
        <v>90.4</v>
      </c>
    </row>
    <row r="243" spans="37:38" x14ac:dyDescent="0.55000000000000004">
      <c r="AK243" s="2">
        <v>143</v>
      </c>
      <c r="AL243" s="2">
        <v>90.4</v>
      </c>
    </row>
    <row r="244" spans="37:38" x14ac:dyDescent="0.55000000000000004">
      <c r="AK244" s="2">
        <v>148</v>
      </c>
      <c r="AL244" s="2">
        <v>90.2</v>
      </c>
    </row>
    <row r="245" spans="37:38" x14ac:dyDescent="0.55000000000000004">
      <c r="AK245" s="2">
        <v>130</v>
      </c>
      <c r="AL245" s="2">
        <v>89.9</v>
      </c>
    </row>
    <row r="246" spans="37:38" x14ac:dyDescent="0.55000000000000004">
      <c r="AK246" s="2">
        <v>155</v>
      </c>
      <c r="AL246" s="2">
        <v>89.9</v>
      </c>
    </row>
    <row r="247" spans="37:38" x14ac:dyDescent="0.55000000000000004">
      <c r="AK247" s="2">
        <v>120</v>
      </c>
      <c r="AL247" s="2">
        <v>89.9</v>
      </c>
    </row>
    <row r="248" spans="37:38" x14ac:dyDescent="0.55000000000000004">
      <c r="AK248" s="2">
        <v>139</v>
      </c>
      <c r="AL248" s="2">
        <v>89.8</v>
      </c>
    </row>
    <row r="249" spans="37:38" x14ac:dyDescent="0.55000000000000004">
      <c r="AK249" s="2">
        <v>107</v>
      </c>
      <c r="AL249" s="2">
        <v>89.7</v>
      </c>
    </row>
    <row r="250" spans="37:38" x14ac:dyDescent="0.55000000000000004">
      <c r="AK250" s="2">
        <v>113</v>
      </c>
      <c r="AL250" s="2">
        <v>89.6</v>
      </c>
    </row>
    <row r="251" spans="37:38" x14ac:dyDescent="0.55000000000000004">
      <c r="AK251" s="2">
        <v>147</v>
      </c>
      <c r="AL251" s="2">
        <v>89.6</v>
      </c>
    </row>
    <row r="252" spans="37:38" x14ac:dyDescent="0.55000000000000004">
      <c r="AK252" s="2">
        <v>135</v>
      </c>
      <c r="AL252" s="2">
        <v>89.6</v>
      </c>
    </row>
    <row r="253" spans="37:38" x14ac:dyDescent="0.55000000000000004">
      <c r="AK253" s="2">
        <v>160</v>
      </c>
      <c r="AL253" s="2">
        <v>89.6</v>
      </c>
    </row>
    <row r="254" spans="37:38" x14ac:dyDescent="0.55000000000000004">
      <c r="AK254" s="2">
        <v>136</v>
      </c>
      <c r="AL254" s="2">
        <v>89.5</v>
      </c>
    </row>
    <row r="255" spans="37:38" x14ac:dyDescent="0.55000000000000004">
      <c r="AK255" s="2">
        <v>158</v>
      </c>
      <c r="AL255" s="2">
        <v>89.5</v>
      </c>
    </row>
    <row r="256" spans="37:38" x14ac:dyDescent="0.55000000000000004">
      <c r="AK256" s="2">
        <v>159</v>
      </c>
      <c r="AL256" s="2">
        <v>89.5</v>
      </c>
    </row>
    <row r="257" spans="37:38" x14ac:dyDescent="0.55000000000000004">
      <c r="AK257" s="2">
        <v>146</v>
      </c>
      <c r="AL257" s="2">
        <v>89.3</v>
      </c>
    </row>
    <row r="258" spans="37:38" x14ac:dyDescent="0.55000000000000004">
      <c r="AK258" s="2">
        <v>119</v>
      </c>
      <c r="AL258" s="2">
        <v>89.3</v>
      </c>
    </row>
    <row r="259" spans="37:38" x14ac:dyDescent="0.55000000000000004">
      <c r="AK259" s="2">
        <v>125</v>
      </c>
      <c r="AL259" s="2">
        <v>89.2</v>
      </c>
    </row>
    <row r="260" spans="37:38" x14ac:dyDescent="0.55000000000000004">
      <c r="AK260" s="2">
        <v>132</v>
      </c>
      <c r="AL260" s="2">
        <v>89</v>
      </c>
    </row>
    <row r="261" spans="37:38" x14ac:dyDescent="0.55000000000000004">
      <c r="AK261" s="2">
        <v>161</v>
      </c>
      <c r="AL261" s="2">
        <v>88.9</v>
      </c>
    </row>
    <row r="262" spans="37:38" x14ac:dyDescent="0.55000000000000004">
      <c r="AK262" s="2">
        <v>159</v>
      </c>
      <c r="AL262" s="2">
        <v>88.9</v>
      </c>
    </row>
    <row r="263" spans="37:38" x14ac:dyDescent="0.55000000000000004">
      <c r="AK263" s="2">
        <v>161</v>
      </c>
      <c r="AL263" s="2">
        <v>88.9</v>
      </c>
    </row>
    <row r="264" spans="37:38" x14ac:dyDescent="0.55000000000000004">
      <c r="AK264" s="2">
        <v>155</v>
      </c>
      <c r="AL264" s="2">
        <v>88.6</v>
      </c>
    </row>
    <row r="265" spans="37:38" x14ac:dyDescent="0.55000000000000004">
      <c r="AK265" s="2">
        <v>126</v>
      </c>
      <c r="AL265" s="2">
        <v>88.5</v>
      </c>
    </row>
    <row r="266" spans="37:38" x14ac:dyDescent="0.55000000000000004">
      <c r="AK266" s="2">
        <v>141</v>
      </c>
      <c r="AL266" s="2">
        <v>88.3</v>
      </c>
    </row>
    <row r="267" spans="37:38" x14ac:dyDescent="0.55000000000000004">
      <c r="AK267" s="2">
        <v>154</v>
      </c>
      <c r="AL267" s="2">
        <v>88.2</v>
      </c>
    </row>
    <row r="268" spans="37:38" x14ac:dyDescent="0.55000000000000004">
      <c r="AK268" s="2">
        <v>131</v>
      </c>
      <c r="AL268" s="2">
        <v>88.1</v>
      </c>
    </row>
    <row r="269" spans="37:38" x14ac:dyDescent="0.55000000000000004">
      <c r="AK269" s="2">
        <v>111</v>
      </c>
      <c r="AL269" s="2">
        <v>88.1</v>
      </c>
    </row>
    <row r="270" spans="37:38" x14ac:dyDescent="0.55000000000000004">
      <c r="AK270" s="2">
        <v>122</v>
      </c>
      <c r="AL270" s="2">
        <v>87.9</v>
      </c>
    </row>
    <row r="271" spans="37:38" x14ac:dyDescent="0.55000000000000004">
      <c r="AK271" s="2">
        <v>133</v>
      </c>
      <c r="AL271" s="2">
        <v>87.9</v>
      </c>
    </row>
    <row r="272" spans="37:38" x14ac:dyDescent="0.55000000000000004">
      <c r="AK272" s="2">
        <v>165</v>
      </c>
      <c r="AL272" s="2">
        <v>87.9</v>
      </c>
    </row>
    <row r="273" spans="37:38" x14ac:dyDescent="0.55000000000000004">
      <c r="AK273" s="2">
        <v>176</v>
      </c>
      <c r="AL273" s="2">
        <v>87.9</v>
      </c>
    </row>
    <row r="274" spans="37:38" x14ac:dyDescent="0.55000000000000004">
      <c r="AK274" s="2">
        <v>137</v>
      </c>
      <c r="AL274" s="2">
        <v>87.6</v>
      </c>
    </row>
    <row r="275" spans="37:38" x14ac:dyDescent="0.55000000000000004">
      <c r="AK275" s="2">
        <v>113</v>
      </c>
      <c r="AL275" s="2">
        <v>87.1</v>
      </c>
    </row>
    <row r="276" spans="37:38" x14ac:dyDescent="0.55000000000000004">
      <c r="AK276" s="2">
        <v>140</v>
      </c>
      <c r="AL276" s="2">
        <v>86.8</v>
      </c>
    </row>
    <row r="277" spans="37:38" x14ac:dyDescent="0.55000000000000004">
      <c r="AK277" s="2">
        <v>133</v>
      </c>
      <c r="AL277" s="2">
        <v>86.7</v>
      </c>
    </row>
    <row r="278" spans="37:38" x14ac:dyDescent="0.55000000000000004">
      <c r="AK278" s="2">
        <v>168</v>
      </c>
      <c r="AL278" s="2">
        <v>86.6</v>
      </c>
    </row>
    <row r="279" spans="37:38" x14ac:dyDescent="0.55000000000000004">
      <c r="AK279" s="2">
        <v>141</v>
      </c>
      <c r="AL279" s="2">
        <v>86.6</v>
      </c>
    </row>
    <row r="280" spans="37:38" x14ac:dyDescent="0.55000000000000004">
      <c r="AK280" s="2">
        <v>125</v>
      </c>
      <c r="AL280" s="2">
        <v>86.3</v>
      </c>
    </row>
    <row r="281" spans="37:38" x14ac:dyDescent="0.55000000000000004">
      <c r="AK281" s="2">
        <v>154</v>
      </c>
      <c r="AL281" s="2">
        <v>86.3</v>
      </c>
    </row>
    <row r="282" spans="37:38" x14ac:dyDescent="0.55000000000000004">
      <c r="AK282" s="2">
        <v>138</v>
      </c>
      <c r="AL282" s="2">
        <v>86</v>
      </c>
    </row>
    <row r="283" spans="37:38" x14ac:dyDescent="0.55000000000000004">
      <c r="AK283" s="2">
        <v>139</v>
      </c>
      <c r="AL283" s="2">
        <v>85.8</v>
      </c>
    </row>
    <row r="284" spans="37:38" x14ac:dyDescent="0.55000000000000004">
      <c r="AK284" s="2">
        <v>130</v>
      </c>
      <c r="AL284" s="2">
        <v>85.8</v>
      </c>
    </row>
    <row r="285" spans="37:38" x14ac:dyDescent="0.55000000000000004">
      <c r="AK285" s="2">
        <v>135</v>
      </c>
      <c r="AL285" s="2">
        <v>85.8</v>
      </c>
    </row>
    <row r="286" spans="37:38" x14ac:dyDescent="0.55000000000000004">
      <c r="AK286" s="2">
        <v>142</v>
      </c>
      <c r="AL286" s="2">
        <v>85.6</v>
      </c>
    </row>
    <row r="287" spans="37:38" x14ac:dyDescent="0.55000000000000004">
      <c r="AK287" s="2">
        <v>144</v>
      </c>
      <c r="AL287" s="2">
        <v>85.4</v>
      </c>
    </row>
    <row r="288" spans="37:38" x14ac:dyDescent="0.55000000000000004">
      <c r="AK288" s="2">
        <v>131</v>
      </c>
      <c r="AL288" s="2">
        <v>85.4</v>
      </c>
    </row>
    <row r="289" spans="37:38" x14ac:dyDescent="0.55000000000000004">
      <c r="AK289" s="2">
        <v>120</v>
      </c>
      <c r="AL289" s="2">
        <v>85.3</v>
      </c>
    </row>
    <row r="290" spans="37:38" x14ac:dyDescent="0.55000000000000004">
      <c r="AK290" s="2">
        <v>136</v>
      </c>
      <c r="AL290" s="2">
        <v>85.2</v>
      </c>
    </row>
    <row r="291" spans="37:38" x14ac:dyDescent="0.55000000000000004">
      <c r="AK291" s="2">
        <v>119</v>
      </c>
      <c r="AL291" s="2">
        <v>85.1</v>
      </c>
    </row>
    <row r="292" spans="37:38" x14ac:dyDescent="0.55000000000000004">
      <c r="AK292" s="2">
        <v>144</v>
      </c>
      <c r="AL292" s="2">
        <v>85.1</v>
      </c>
    </row>
    <row r="293" spans="37:38" x14ac:dyDescent="0.55000000000000004">
      <c r="AK293" s="2">
        <v>152</v>
      </c>
      <c r="AL293" s="2">
        <v>84.9</v>
      </c>
    </row>
    <row r="294" spans="37:38" x14ac:dyDescent="0.55000000000000004">
      <c r="AK294" s="2">
        <v>136</v>
      </c>
      <c r="AL294" s="2">
        <v>84.9</v>
      </c>
    </row>
    <row r="295" spans="37:38" x14ac:dyDescent="0.55000000000000004">
      <c r="AK295" s="2">
        <v>155</v>
      </c>
      <c r="AL295" s="2">
        <v>84.7</v>
      </c>
    </row>
    <row r="296" spans="37:38" x14ac:dyDescent="0.55000000000000004">
      <c r="AK296" s="2">
        <v>135</v>
      </c>
      <c r="AL296" s="2">
        <v>84.6</v>
      </c>
    </row>
    <row r="297" spans="37:38" x14ac:dyDescent="0.55000000000000004">
      <c r="AK297" s="2">
        <v>153</v>
      </c>
      <c r="AL297" s="2">
        <v>84.5</v>
      </c>
    </row>
    <row r="298" spans="37:38" x14ac:dyDescent="0.55000000000000004">
      <c r="AK298" s="2">
        <v>125</v>
      </c>
      <c r="AL298" s="2">
        <v>84.4</v>
      </c>
    </row>
    <row r="299" spans="37:38" x14ac:dyDescent="0.55000000000000004">
      <c r="AK299" s="2">
        <v>110</v>
      </c>
      <c r="AL299" s="2">
        <v>84.4</v>
      </c>
    </row>
    <row r="300" spans="37:38" x14ac:dyDescent="0.55000000000000004">
      <c r="AK300" s="2">
        <v>130</v>
      </c>
      <c r="AL300" s="2">
        <v>84.4</v>
      </c>
    </row>
    <row r="301" spans="37:38" x14ac:dyDescent="0.55000000000000004">
      <c r="AK301" s="2">
        <v>159</v>
      </c>
      <c r="AL301" s="2">
        <v>84.2</v>
      </c>
    </row>
    <row r="302" spans="37:38" x14ac:dyDescent="0.55000000000000004">
      <c r="AK302" s="2">
        <v>124</v>
      </c>
      <c r="AL302" s="2">
        <v>84.1</v>
      </c>
    </row>
    <row r="303" spans="37:38" x14ac:dyDescent="0.55000000000000004">
      <c r="AK303" s="2">
        <v>136</v>
      </c>
      <c r="AL303" s="2">
        <v>84.1</v>
      </c>
    </row>
    <row r="304" spans="37:38" x14ac:dyDescent="0.55000000000000004">
      <c r="AK304" s="2">
        <v>131</v>
      </c>
      <c r="AL304" s="2">
        <v>84.1</v>
      </c>
    </row>
    <row r="305" spans="37:38" x14ac:dyDescent="0.55000000000000004">
      <c r="AK305" s="2">
        <v>122</v>
      </c>
      <c r="AL305" s="2">
        <v>83.9</v>
      </c>
    </row>
    <row r="306" spans="37:38" x14ac:dyDescent="0.55000000000000004">
      <c r="AK306" s="2">
        <v>133</v>
      </c>
      <c r="AL306" s="2">
        <v>83.9</v>
      </c>
    </row>
    <row r="307" spans="37:38" x14ac:dyDescent="0.55000000000000004">
      <c r="AK307" s="2">
        <v>156</v>
      </c>
      <c r="AL307" s="2">
        <v>83.9</v>
      </c>
    </row>
    <row r="308" spans="37:38" x14ac:dyDescent="0.55000000000000004">
      <c r="AK308" s="2">
        <v>157</v>
      </c>
      <c r="AL308" s="2">
        <v>83.9</v>
      </c>
    </row>
    <row r="309" spans="37:38" x14ac:dyDescent="0.55000000000000004">
      <c r="AK309" s="2">
        <v>134</v>
      </c>
      <c r="AL309" s="2">
        <v>83.8</v>
      </c>
    </row>
    <row r="310" spans="37:38" x14ac:dyDescent="0.55000000000000004">
      <c r="AK310" s="2">
        <v>141</v>
      </c>
      <c r="AL310" s="2">
        <v>83.8</v>
      </c>
    </row>
    <row r="311" spans="37:38" x14ac:dyDescent="0.55000000000000004">
      <c r="AK311" s="2">
        <v>112</v>
      </c>
      <c r="AL311" s="2">
        <v>83.7</v>
      </c>
    </row>
    <row r="312" spans="37:38" x14ac:dyDescent="0.55000000000000004">
      <c r="AK312" s="2">
        <v>132</v>
      </c>
      <c r="AL312" s="2">
        <v>83.6</v>
      </c>
    </row>
    <row r="313" spans="37:38" x14ac:dyDescent="0.55000000000000004">
      <c r="AK313" s="2">
        <v>126</v>
      </c>
      <c r="AL313" s="2">
        <v>83.6</v>
      </c>
    </row>
    <row r="314" spans="37:38" x14ac:dyDescent="0.55000000000000004">
      <c r="AK314" s="2">
        <v>139</v>
      </c>
      <c r="AL314" s="2">
        <v>83.6</v>
      </c>
    </row>
    <row r="315" spans="37:38" x14ac:dyDescent="0.55000000000000004">
      <c r="AK315" s="2">
        <v>131</v>
      </c>
      <c r="AL315" s="2">
        <v>83.5</v>
      </c>
    </row>
    <row r="316" spans="37:38" x14ac:dyDescent="0.55000000000000004">
      <c r="AK316" s="2">
        <v>141</v>
      </c>
      <c r="AL316" s="2">
        <v>83.4</v>
      </c>
    </row>
    <row r="317" spans="37:38" x14ac:dyDescent="0.55000000000000004">
      <c r="AK317" s="2">
        <v>141</v>
      </c>
      <c r="AL317" s="2">
        <v>83.3</v>
      </c>
    </row>
    <row r="318" spans="37:38" x14ac:dyDescent="0.55000000000000004">
      <c r="AK318" s="2">
        <v>154</v>
      </c>
      <c r="AL318" s="2">
        <v>83.2</v>
      </c>
    </row>
    <row r="319" spans="37:38" x14ac:dyDescent="0.55000000000000004">
      <c r="AK319" s="2">
        <v>136</v>
      </c>
      <c r="AL319" s="2">
        <v>83</v>
      </c>
    </row>
    <row r="320" spans="37:38" x14ac:dyDescent="0.55000000000000004">
      <c r="AK320" s="2">
        <v>155</v>
      </c>
      <c r="AL320" s="2">
        <v>83</v>
      </c>
    </row>
    <row r="321" spans="37:38" x14ac:dyDescent="0.55000000000000004">
      <c r="AK321" s="2">
        <v>146</v>
      </c>
      <c r="AL321" s="2">
        <v>82.8</v>
      </c>
    </row>
    <row r="322" spans="37:38" x14ac:dyDescent="0.55000000000000004">
      <c r="AK322" s="2">
        <v>116</v>
      </c>
      <c r="AL322" s="2">
        <v>82.8</v>
      </c>
    </row>
    <row r="323" spans="37:38" x14ac:dyDescent="0.55000000000000004">
      <c r="AK323" s="2">
        <v>148</v>
      </c>
      <c r="AL323" s="2">
        <v>82.8</v>
      </c>
    </row>
    <row r="324" spans="37:38" x14ac:dyDescent="0.55000000000000004">
      <c r="AK324" s="2">
        <v>134</v>
      </c>
      <c r="AL324" s="2">
        <v>82.7</v>
      </c>
    </row>
    <row r="325" spans="37:38" x14ac:dyDescent="0.55000000000000004">
      <c r="AK325" s="2">
        <v>101</v>
      </c>
      <c r="AL325" s="2">
        <v>82.3</v>
      </c>
    </row>
    <row r="326" spans="37:38" x14ac:dyDescent="0.55000000000000004">
      <c r="AK326" s="2">
        <v>130</v>
      </c>
      <c r="AL326" s="2">
        <v>82.3</v>
      </c>
    </row>
    <row r="327" spans="37:38" x14ac:dyDescent="0.55000000000000004">
      <c r="AK327" s="2">
        <v>148</v>
      </c>
      <c r="AL327" s="2">
        <v>82.2</v>
      </c>
    </row>
    <row r="328" spans="37:38" x14ac:dyDescent="0.55000000000000004">
      <c r="AK328" s="2">
        <v>122</v>
      </c>
      <c r="AL328" s="2">
        <v>82.1</v>
      </c>
    </row>
    <row r="329" spans="37:38" x14ac:dyDescent="0.55000000000000004">
      <c r="AK329" s="2">
        <v>117</v>
      </c>
      <c r="AL329" s="2">
        <v>82.1</v>
      </c>
    </row>
    <row r="330" spans="37:38" x14ac:dyDescent="0.55000000000000004">
      <c r="AK330" s="2">
        <v>134</v>
      </c>
      <c r="AL330" s="2">
        <v>82.1</v>
      </c>
    </row>
    <row r="331" spans="37:38" x14ac:dyDescent="0.55000000000000004">
      <c r="AK331" s="2">
        <v>130</v>
      </c>
      <c r="AL331" s="2">
        <v>82</v>
      </c>
    </row>
    <row r="332" spans="37:38" x14ac:dyDescent="0.55000000000000004">
      <c r="AK332" s="2">
        <v>135</v>
      </c>
      <c r="AL332" s="2">
        <v>81.900000000000006</v>
      </c>
    </row>
    <row r="333" spans="37:38" x14ac:dyDescent="0.55000000000000004">
      <c r="AK333" s="2">
        <v>130</v>
      </c>
      <c r="AL333" s="2">
        <v>81.900000000000006</v>
      </c>
    </row>
    <row r="334" spans="37:38" x14ac:dyDescent="0.55000000000000004">
      <c r="AK334" s="2">
        <v>128</v>
      </c>
      <c r="AL334" s="2">
        <v>81.8</v>
      </c>
    </row>
    <row r="335" spans="37:38" x14ac:dyDescent="0.55000000000000004">
      <c r="AK335" s="2">
        <v>129</v>
      </c>
      <c r="AL335" s="2">
        <v>81.8</v>
      </c>
    </row>
    <row r="336" spans="37:38" x14ac:dyDescent="0.55000000000000004">
      <c r="AK336" s="2">
        <v>128</v>
      </c>
      <c r="AL336" s="2">
        <v>81.7</v>
      </c>
    </row>
    <row r="337" spans="37:38" x14ac:dyDescent="0.55000000000000004">
      <c r="AK337" s="2">
        <v>136</v>
      </c>
      <c r="AL337" s="2">
        <v>81.7</v>
      </c>
    </row>
    <row r="338" spans="37:38" x14ac:dyDescent="0.55000000000000004">
      <c r="AK338" s="2">
        <v>144</v>
      </c>
      <c r="AL338" s="2">
        <v>81.599999999999994</v>
      </c>
    </row>
    <row r="339" spans="37:38" x14ac:dyDescent="0.55000000000000004">
      <c r="AK339" s="2">
        <v>143</v>
      </c>
      <c r="AL339" s="2">
        <v>81.5</v>
      </c>
    </row>
    <row r="340" spans="37:38" x14ac:dyDescent="0.55000000000000004">
      <c r="AK340" s="2">
        <v>134</v>
      </c>
      <c r="AL340" s="2">
        <v>81.2</v>
      </c>
    </row>
    <row r="341" spans="37:38" x14ac:dyDescent="0.55000000000000004">
      <c r="AK341" s="2">
        <v>123</v>
      </c>
      <c r="AL341" s="2">
        <v>81.099999999999994</v>
      </c>
    </row>
    <row r="342" spans="37:38" x14ac:dyDescent="0.55000000000000004">
      <c r="AK342" s="2">
        <v>153</v>
      </c>
      <c r="AL342" s="2">
        <v>81.099999999999994</v>
      </c>
    </row>
    <row r="343" spans="37:38" x14ac:dyDescent="0.55000000000000004">
      <c r="AK343" s="2">
        <v>144</v>
      </c>
      <c r="AL343" s="2">
        <v>81.099999999999994</v>
      </c>
    </row>
    <row r="344" spans="37:38" x14ac:dyDescent="0.55000000000000004">
      <c r="AK344" s="2">
        <v>142</v>
      </c>
      <c r="AL344" s="2">
        <v>81</v>
      </c>
    </row>
    <row r="345" spans="37:38" x14ac:dyDescent="0.55000000000000004">
      <c r="AK345" s="2">
        <v>120</v>
      </c>
      <c r="AL345" s="2">
        <v>80.8</v>
      </c>
    </row>
    <row r="346" spans="37:38" x14ac:dyDescent="0.55000000000000004">
      <c r="AK346" s="2">
        <v>145</v>
      </c>
      <c r="AL346" s="2">
        <v>80.8</v>
      </c>
    </row>
    <row r="347" spans="37:38" x14ac:dyDescent="0.55000000000000004">
      <c r="AK347" s="2">
        <v>147</v>
      </c>
      <c r="AL347" s="2">
        <v>80.7</v>
      </c>
    </row>
    <row r="348" spans="37:38" x14ac:dyDescent="0.55000000000000004">
      <c r="AK348" s="2">
        <v>149</v>
      </c>
      <c r="AL348" s="2">
        <v>80.599999999999994</v>
      </c>
    </row>
    <row r="349" spans="37:38" x14ac:dyDescent="0.55000000000000004">
      <c r="AK349" s="2">
        <v>147</v>
      </c>
      <c r="AL349" s="2">
        <v>80.5</v>
      </c>
    </row>
    <row r="350" spans="37:38" x14ac:dyDescent="0.55000000000000004">
      <c r="AK350" s="2">
        <v>166</v>
      </c>
      <c r="AL350" s="2">
        <v>80.5</v>
      </c>
    </row>
    <row r="351" spans="37:38" x14ac:dyDescent="0.55000000000000004">
      <c r="AK351" s="2">
        <v>162</v>
      </c>
      <c r="AL351" s="2">
        <v>80.3</v>
      </c>
    </row>
    <row r="352" spans="37:38" x14ac:dyDescent="0.55000000000000004">
      <c r="AK352" s="2">
        <v>176</v>
      </c>
      <c r="AL352" s="2">
        <v>80.099999999999994</v>
      </c>
    </row>
    <row r="353" spans="37:38" x14ac:dyDescent="0.55000000000000004">
      <c r="AK353" s="2">
        <v>155</v>
      </c>
      <c r="AL353" s="2">
        <v>80</v>
      </c>
    </row>
    <row r="354" spans="37:38" x14ac:dyDescent="0.55000000000000004">
      <c r="AK354" s="2">
        <v>128</v>
      </c>
      <c r="AL354" s="2">
        <v>80</v>
      </c>
    </row>
    <row r="355" spans="37:38" x14ac:dyDescent="0.55000000000000004">
      <c r="AK355" s="2">
        <v>159</v>
      </c>
      <c r="AL355" s="2">
        <v>79.900000000000006</v>
      </c>
    </row>
    <row r="356" spans="37:38" x14ac:dyDescent="0.55000000000000004">
      <c r="AK356" s="2">
        <v>148</v>
      </c>
      <c r="AL356" s="2">
        <v>79.900000000000006</v>
      </c>
    </row>
    <row r="357" spans="37:38" x14ac:dyDescent="0.55000000000000004">
      <c r="AK357" s="2">
        <v>103</v>
      </c>
      <c r="AL357" s="2">
        <v>79.8</v>
      </c>
    </row>
    <row r="358" spans="37:38" x14ac:dyDescent="0.55000000000000004">
      <c r="AK358" s="2">
        <v>123</v>
      </c>
      <c r="AL358" s="2">
        <v>79.8</v>
      </c>
    </row>
    <row r="359" spans="37:38" x14ac:dyDescent="0.55000000000000004">
      <c r="AK359" s="2">
        <v>142</v>
      </c>
      <c r="AL359" s="2">
        <v>79.8</v>
      </c>
    </row>
    <row r="360" spans="37:38" x14ac:dyDescent="0.55000000000000004">
      <c r="AK360" s="2">
        <v>147</v>
      </c>
      <c r="AL360" s="2">
        <v>79.7</v>
      </c>
    </row>
    <row r="361" spans="37:38" x14ac:dyDescent="0.55000000000000004">
      <c r="AK361" s="2">
        <v>147</v>
      </c>
      <c r="AL361" s="2">
        <v>79.7</v>
      </c>
    </row>
    <row r="362" spans="37:38" x14ac:dyDescent="0.55000000000000004">
      <c r="AK362" s="2">
        <v>156</v>
      </c>
      <c r="AL362" s="2">
        <v>79.599999999999994</v>
      </c>
    </row>
    <row r="363" spans="37:38" x14ac:dyDescent="0.55000000000000004">
      <c r="AK363" s="2">
        <v>124</v>
      </c>
      <c r="AL363" s="2">
        <v>79.5</v>
      </c>
    </row>
    <row r="364" spans="37:38" x14ac:dyDescent="0.55000000000000004">
      <c r="AK364" s="2">
        <v>135</v>
      </c>
      <c r="AL364" s="2">
        <v>79.400000000000006</v>
      </c>
    </row>
    <row r="365" spans="37:38" x14ac:dyDescent="0.55000000000000004">
      <c r="AK365" s="2">
        <v>133</v>
      </c>
      <c r="AL365" s="2">
        <v>79.400000000000006</v>
      </c>
    </row>
    <row r="366" spans="37:38" x14ac:dyDescent="0.55000000000000004">
      <c r="AK366" s="2">
        <v>130</v>
      </c>
      <c r="AL366" s="2">
        <v>79.3</v>
      </c>
    </row>
    <row r="367" spans="37:38" x14ac:dyDescent="0.55000000000000004">
      <c r="AK367" s="2">
        <v>140</v>
      </c>
      <c r="AL367" s="2">
        <v>79.3</v>
      </c>
    </row>
    <row r="368" spans="37:38" x14ac:dyDescent="0.55000000000000004">
      <c r="AK368" s="2">
        <v>124</v>
      </c>
      <c r="AL368" s="2">
        <v>79.2</v>
      </c>
    </row>
    <row r="369" spans="37:38" x14ac:dyDescent="0.55000000000000004">
      <c r="AK369" s="2">
        <v>128</v>
      </c>
      <c r="AL369" s="2">
        <v>79.2</v>
      </c>
    </row>
    <row r="370" spans="37:38" x14ac:dyDescent="0.55000000000000004">
      <c r="AK370" s="2">
        <v>112</v>
      </c>
      <c r="AL370" s="2">
        <v>79.099999999999994</v>
      </c>
    </row>
    <row r="371" spans="37:38" x14ac:dyDescent="0.55000000000000004">
      <c r="AK371" s="2">
        <v>143</v>
      </c>
      <c r="AL371" s="2">
        <v>78.900000000000006</v>
      </c>
    </row>
    <row r="372" spans="37:38" x14ac:dyDescent="0.55000000000000004">
      <c r="AK372" s="2">
        <v>129</v>
      </c>
      <c r="AL372" s="2">
        <v>78.8</v>
      </c>
    </row>
    <row r="373" spans="37:38" x14ac:dyDescent="0.55000000000000004">
      <c r="AK373" s="2">
        <v>149</v>
      </c>
      <c r="AL373" s="2">
        <v>78.7</v>
      </c>
    </row>
    <row r="374" spans="37:38" x14ac:dyDescent="0.55000000000000004">
      <c r="AK374" s="2">
        <v>126</v>
      </c>
      <c r="AL374" s="2">
        <v>78.7</v>
      </c>
    </row>
    <row r="375" spans="37:38" x14ac:dyDescent="0.55000000000000004">
      <c r="AK375" s="2">
        <v>146</v>
      </c>
      <c r="AL375" s="2">
        <v>78.7</v>
      </c>
    </row>
    <row r="376" spans="37:38" x14ac:dyDescent="0.55000000000000004">
      <c r="AK376" s="2">
        <v>147</v>
      </c>
      <c r="AL376" s="2">
        <v>78.7</v>
      </c>
    </row>
    <row r="377" spans="37:38" x14ac:dyDescent="0.55000000000000004">
      <c r="AK377" s="2">
        <v>114</v>
      </c>
      <c r="AL377" s="2">
        <v>78.599999999999994</v>
      </c>
    </row>
    <row r="378" spans="37:38" x14ac:dyDescent="0.55000000000000004">
      <c r="AK378" s="2">
        <v>137</v>
      </c>
      <c r="AL378" s="2">
        <v>78.3</v>
      </c>
    </row>
    <row r="379" spans="37:38" x14ac:dyDescent="0.55000000000000004">
      <c r="AK379" s="2">
        <v>138</v>
      </c>
      <c r="AL379" s="2">
        <v>78.3</v>
      </c>
    </row>
    <row r="380" spans="37:38" x14ac:dyDescent="0.55000000000000004">
      <c r="AK380" s="2">
        <v>125</v>
      </c>
      <c r="AL380" s="2">
        <v>78.3</v>
      </c>
    </row>
    <row r="381" spans="37:38" x14ac:dyDescent="0.55000000000000004">
      <c r="AK381" s="2">
        <v>128</v>
      </c>
      <c r="AL381" s="2">
        <v>78.3</v>
      </c>
    </row>
    <row r="382" spans="37:38" x14ac:dyDescent="0.55000000000000004">
      <c r="AK382" s="2">
        <v>133</v>
      </c>
      <c r="AL382" s="2">
        <v>78.2</v>
      </c>
    </row>
    <row r="383" spans="37:38" x14ac:dyDescent="0.55000000000000004">
      <c r="AK383" s="2">
        <v>158</v>
      </c>
      <c r="AL383" s="2">
        <v>78</v>
      </c>
    </row>
    <row r="384" spans="37:38" x14ac:dyDescent="0.55000000000000004">
      <c r="AK384" s="2">
        <v>144</v>
      </c>
      <c r="AL384" s="2">
        <v>77.900000000000006</v>
      </c>
    </row>
    <row r="385" spans="37:38" x14ac:dyDescent="0.55000000000000004">
      <c r="AK385" s="2">
        <v>142</v>
      </c>
      <c r="AL385" s="2">
        <v>77.900000000000006</v>
      </c>
    </row>
    <row r="386" spans="37:38" x14ac:dyDescent="0.55000000000000004">
      <c r="AK386" s="2">
        <v>142</v>
      </c>
      <c r="AL386" s="2">
        <v>77.8</v>
      </c>
    </row>
    <row r="387" spans="37:38" x14ac:dyDescent="0.55000000000000004">
      <c r="AK387" s="2">
        <v>147</v>
      </c>
      <c r="AL387" s="2">
        <v>77.7</v>
      </c>
    </row>
    <row r="388" spans="37:38" x14ac:dyDescent="0.55000000000000004">
      <c r="AK388" s="2">
        <v>144</v>
      </c>
      <c r="AL388" s="2">
        <v>77.599999999999994</v>
      </c>
    </row>
    <row r="389" spans="37:38" x14ac:dyDescent="0.55000000000000004">
      <c r="AK389" s="2">
        <v>131</v>
      </c>
      <c r="AL389" s="2">
        <v>77.599999999999994</v>
      </c>
    </row>
    <row r="390" spans="37:38" x14ac:dyDescent="0.55000000000000004">
      <c r="AK390" s="2">
        <v>152</v>
      </c>
      <c r="AL390" s="2">
        <v>77.5</v>
      </c>
    </row>
    <row r="391" spans="37:38" x14ac:dyDescent="0.55000000000000004">
      <c r="AK391" s="2">
        <v>154</v>
      </c>
      <c r="AL391" s="2">
        <v>77.5</v>
      </c>
    </row>
    <row r="392" spans="37:38" x14ac:dyDescent="0.55000000000000004">
      <c r="AK392" s="2">
        <v>147</v>
      </c>
      <c r="AL392" s="2">
        <v>77.400000000000006</v>
      </c>
    </row>
    <row r="393" spans="37:38" x14ac:dyDescent="0.55000000000000004">
      <c r="AK393" s="2">
        <v>141</v>
      </c>
      <c r="AL393" s="2">
        <v>77.3</v>
      </c>
    </row>
    <row r="394" spans="37:38" x14ac:dyDescent="0.55000000000000004">
      <c r="AK394" s="2">
        <v>147</v>
      </c>
      <c r="AL394" s="2">
        <v>77.3</v>
      </c>
    </row>
    <row r="395" spans="37:38" x14ac:dyDescent="0.55000000000000004">
      <c r="AK395" s="2">
        <v>134</v>
      </c>
      <c r="AL395" s="2">
        <v>77.3</v>
      </c>
    </row>
    <row r="396" spans="37:38" x14ac:dyDescent="0.55000000000000004">
      <c r="AK396" s="2">
        <v>131</v>
      </c>
      <c r="AL396" s="2">
        <v>77.099999999999994</v>
      </c>
    </row>
    <row r="397" spans="37:38" x14ac:dyDescent="0.55000000000000004">
      <c r="AK397" s="2">
        <v>149</v>
      </c>
      <c r="AL397" s="2">
        <v>76.900000000000006</v>
      </c>
    </row>
    <row r="398" spans="37:38" x14ac:dyDescent="0.55000000000000004">
      <c r="AK398" s="2">
        <v>144</v>
      </c>
      <c r="AL398" s="2">
        <v>76.8</v>
      </c>
    </row>
    <row r="399" spans="37:38" x14ac:dyDescent="0.55000000000000004">
      <c r="AK399" s="2">
        <v>142</v>
      </c>
      <c r="AL399" s="2">
        <v>76.8</v>
      </c>
    </row>
    <row r="400" spans="37:38" x14ac:dyDescent="0.55000000000000004">
      <c r="AK400" s="2">
        <v>127</v>
      </c>
      <c r="AL400" s="2">
        <v>76.8</v>
      </c>
    </row>
    <row r="401" spans="37:38" x14ac:dyDescent="0.55000000000000004">
      <c r="AK401" s="2">
        <v>123</v>
      </c>
      <c r="AL401" s="2">
        <v>76.599999999999994</v>
      </c>
    </row>
    <row r="402" spans="37:38" x14ac:dyDescent="0.55000000000000004">
      <c r="AK402" s="2">
        <v>149</v>
      </c>
      <c r="AL402" s="2">
        <v>76.599999999999994</v>
      </c>
    </row>
    <row r="403" spans="37:38" x14ac:dyDescent="0.55000000000000004">
      <c r="AK403" s="2">
        <v>139</v>
      </c>
      <c r="AL403" s="2">
        <v>76.5</v>
      </c>
    </row>
    <row r="404" spans="37:38" x14ac:dyDescent="0.55000000000000004">
      <c r="AK404" s="2">
        <v>96</v>
      </c>
      <c r="AL404" s="2">
        <v>76.3</v>
      </c>
    </row>
    <row r="405" spans="37:38" x14ac:dyDescent="0.55000000000000004">
      <c r="AK405" s="2">
        <v>150</v>
      </c>
      <c r="AL405" s="2">
        <v>76.3</v>
      </c>
    </row>
    <row r="406" spans="37:38" x14ac:dyDescent="0.55000000000000004">
      <c r="AK406" s="2">
        <v>139</v>
      </c>
      <c r="AL406" s="2">
        <v>76.3</v>
      </c>
    </row>
    <row r="407" spans="37:38" x14ac:dyDescent="0.55000000000000004">
      <c r="AK407" s="2">
        <v>158</v>
      </c>
      <c r="AL407" s="2">
        <v>76.099999999999994</v>
      </c>
    </row>
    <row r="408" spans="37:38" x14ac:dyDescent="0.55000000000000004">
      <c r="AK408" s="2">
        <v>141</v>
      </c>
      <c r="AL408" s="2">
        <v>76</v>
      </c>
    </row>
    <row r="409" spans="37:38" x14ac:dyDescent="0.55000000000000004">
      <c r="AK409" s="2">
        <v>144</v>
      </c>
      <c r="AL409" s="2">
        <v>75.7</v>
      </c>
    </row>
    <row r="410" spans="37:38" x14ac:dyDescent="0.55000000000000004">
      <c r="AK410" s="2">
        <v>129</v>
      </c>
      <c r="AL410" s="2">
        <v>75.7</v>
      </c>
    </row>
    <row r="411" spans="37:38" x14ac:dyDescent="0.55000000000000004">
      <c r="AK411" s="2">
        <v>145</v>
      </c>
      <c r="AL411" s="2">
        <v>75.7</v>
      </c>
    </row>
    <row r="412" spans="37:38" x14ac:dyDescent="0.55000000000000004">
      <c r="AK412" s="2">
        <v>128</v>
      </c>
      <c r="AL412" s="2">
        <v>75.7</v>
      </c>
    </row>
    <row r="413" spans="37:38" x14ac:dyDescent="0.55000000000000004">
      <c r="AK413" s="2">
        <v>122</v>
      </c>
      <c r="AL413" s="2">
        <v>75.7</v>
      </c>
    </row>
    <row r="414" spans="37:38" x14ac:dyDescent="0.55000000000000004">
      <c r="AK414" s="2">
        <v>151</v>
      </c>
      <c r="AL414" s="2">
        <v>75.599999999999994</v>
      </c>
    </row>
    <row r="415" spans="37:38" x14ac:dyDescent="0.55000000000000004">
      <c r="AK415" s="2">
        <v>127</v>
      </c>
      <c r="AL415" s="2">
        <v>75.5</v>
      </c>
    </row>
    <row r="416" spans="37:38" x14ac:dyDescent="0.55000000000000004">
      <c r="AK416" s="2">
        <v>134</v>
      </c>
      <c r="AL416" s="2">
        <v>75.5</v>
      </c>
    </row>
    <row r="417" spans="37:38" x14ac:dyDescent="0.55000000000000004">
      <c r="AK417" s="2">
        <v>134</v>
      </c>
      <c r="AL417" s="2">
        <v>75.400000000000006</v>
      </c>
    </row>
    <row r="418" spans="37:38" x14ac:dyDescent="0.55000000000000004">
      <c r="AK418" s="2">
        <v>124</v>
      </c>
      <c r="AL418" s="2">
        <v>75.400000000000006</v>
      </c>
    </row>
    <row r="419" spans="37:38" x14ac:dyDescent="0.55000000000000004">
      <c r="AK419" s="2">
        <v>137</v>
      </c>
      <c r="AL419" s="2">
        <v>75.2</v>
      </c>
    </row>
    <row r="420" spans="37:38" x14ac:dyDescent="0.55000000000000004">
      <c r="AK420" s="2">
        <v>113</v>
      </c>
      <c r="AL420" s="2">
        <v>75.099999999999994</v>
      </c>
    </row>
    <row r="421" spans="37:38" x14ac:dyDescent="0.55000000000000004">
      <c r="AK421" s="2">
        <v>128</v>
      </c>
      <c r="AL421" s="2">
        <v>75.099999999999994</v>
      </c>
    </row>
    <row r="422" spans="37:38" x14ac:dyDescent="0.55000000000000004">
      <c r="AK422" s="2">
        <v>123</v>
      </c>
      <c r="AL422" s="2">
        <v>75</v>
      </c>
    </row>
    <row r="423" spans="37:38" x14ac:dyDescent="0.55000000000000004">
      <c r="AK423" s="2">
        <v>102</v>
      </c>
      <c r="AL423" s="2">
        <v>74.900000000000006</v>
      </c>
    </row>
    <row r="424" spans="37:38" x14ac:dyDescent="0.55000000000000004">
      <c r="AK424" s="2">
        <v>129</v>
      </c>
      <c r="AL424" s="2">
        <v>74.900000000000006</v>
      </c>
    </row>
    <row r="425" spans="37:38" x14ac:dyDescent="0.55000000000000004">
      <c r="AK425" s="2">
        <v>143</v>
      </c>
      <c r="AL425" s="2">
        <v>74.900000000000006</v>
      </c>
    </row>
    <row r="426" spans="37:38" x14ac:dyDescent="0.55000000000000004">
      <c r="AK426" s="2">
        <v>155</v>
      </c>
      <c r="AL426" s="2">
        <v>74.400000000000006</v>
      </c>
    </row>
    <row r="427" spans="37:38" x14ac:dyDescent="0.55000000000000004">
      <c r="AK427" s="2">
        <v>140</v>
      </c>
      <c r="AL427" s="2">
        <v>74.400000000000006</v>
      </c>
    </row>
    <row r="428" spans="37:38" x14ac:dyDescent="0.55000000000000004">
      <c r="AK428" s="2">
        <v>133</v>
      </c>
      <c r="AL428" s="2">
        <v>74.3</v>
      </c>
    </row>
    <row r="429" spans="37:38" x14ac:dyDescent="0.55000000000000004">
      <c r="AK429" s="2">
        <v>144</v>
      </c>
      <c r="AL429" s="2">
        <v>74.2</v>
      </c>
    </row>
    <row r="430" spans="37:38" x14ac:dyDescent="0.55000000000000004">
      <c r="AK430" s="2">
        <v>134</v>
      </c>
      <c r="AL430" s="2">
        <v>74.2</v>
      </c>
    </row>
    <row r="431" spans="37:38" x14ac:dyDescent="0.55000000000000004">
      <c r="AK431" s="2">
        <v>150</v>
      </c>
      <c r="AL431" s="2">
        <v>74.099999999999994</v>
      </c>
    </row>
    <row r="432" spans="37:38" x14ac:dyDescent="0.55000000000000004">
      <c r="AK432" s="2">
        <v>142</v>
      </c>
      <c r="AL432" s="2">
        <v>74</v>
      </c>
    </row>
    <row r="433" spans="37:38" x14ac:dyDescent="0.55000000000000004">
      <c r="AK433" s="2">
        <v>115</v>
      </c>
      <c r="AL433" s="2">
        <v>73.900000000000006</v>
      </c>
    </row>
    <row r="434" spans="37:38" x14ac:dyDescent="0.55000000000000004">
      <c r="AK434" s="2">
        <v>147</v>
      </c>
      <c r="AL434" s="2">
        <v>73.900000000000006</v>
      </c>
    </row>
    <row r="435" spans="37:38" x14ac:dyDescent="0.55000000000000004">
      <c r="AK435" s="2">
        <v>132</v>
      </c>
      <c r="AL435" s="2">
        <v>73.8</v>
      </c>
    </row>
    <row r="436" spans="37:38" x14ac:dyDescent="0.55000000000000004">
      <c r="AK436" s="2">
        <v>122</v>
      </c>
      <c r="AL436" s="2">
        <v>73.8</v>
      </c>
    </row>
    <row r="437" spans="37:38" x14ac:dyDescent="0.55000000000000004">
      <c r="AK437" s="2">
        <v>120</v>
      </c>
      <c r="AL437" s="2">
        <v>73.7</v>
      </c>
    </row>
    <row r="438" spans="37:38" x14ac:dyDescent="0.55000000000000004">
      <c r="AK438" s="2">
        <v>154</v>
      </c>
      <c r="AL438" s="2">
        <v>73.599999999999994</v>
      </c>
    </row>
    <row r="439" spans="37:38" x14ac:dyDescent="0.55000000000000004">
      <c r="AK439" s="2">
        <v>109</v>
      </c>
      <c r="AL439" s="2">
        <v>73.599999999999994</v>
      </c>
    </row>
    <row r="440" spans="37:38" x14ac:dyDescent="0.55000000000000004">
      <c r="AK440" s="2">
        <v>129</v>
      </c>
      <c r="AL440" s="2">
        <v>73.5</v>
      </c>
    </row>
    <row r="441" spans="37:38" x14ac:dyDescent="0.55000000000000004">
      <c r="AK441" s="2">
        <v>110</v>
      </c>
      <c r="AL441" s="2">
        <v>73.5</v>
      </c>
    </row>
    <row r="442" spans="37:38" x14ac:dyDescent="0.55000000000000004">
      <c r="AK442" s="2">
        <v>119</v>
      </c>
      <c r="AL442" s="2">
        <v>73.5</v>
      </c>
    </row>
    <row r="443" spans="37:38" x14ac:dyDescent="0.55000000000000004">
      <c r="AK443" s="2">
        <v>126</v>
      </c>
      <c r="AL443" s="2">
        <v>73.5</v>
      </c>
    </row>
    <row r="444" spans="37:38" x14ac:dyDescent="0.55000000000000004">
      <c r="AK444" s="2">
        <v>159</v>
      </c>
      <c r="AL444" s="2">
        <v>73.3</v>
      </c>
    </row>
    <row r="445" spans="37:38" x14ac:dyDescent="0.55000000000000004">
      <c r="AK445" s="2">
        <v>133</v>
      </c>
      <c r="AL445" s="2">
        <v>73.3</v>
      </c>
    </row>
    <row r="446" spans="37:38" x14ac:dyDescent="0.55000000000000004">
      <c r="AK446" s="2">
        <v>131</v>
      </c>
      <c r="AL446" s="2">
        <v>73.3</v>
      </c>
    </row>
    <row r="447" spans="37:38" x14ac:dyDescent="0.55000000000000004">
      <c r="AK447" s="2">
        <v>138</v>
      </c>
      <c r="AL447" s="2">
        <v>73</v>
      </c>
    </row>
    <row r="448" spans="37:38" x14ac:dyDescent="0.55000000000000004">
      <c r="AK448" s="2">
        <v>117</v>
      </c>
      <c r="AL448" s="2">
        <v>73</v>
      </c>
    </row>
    <row r="449" spans="37:38" x14ac:dyDescent="0.55000000000000004">
      <c r="AK449" s="2">
        <v>146</v>
      </c>
      <c r="AL449" s="2">
        <v>72.8</v>
      </c>
    </row>
    <row r="450" spans="37:38" x14ac:dyDescent="0.55000000000000004">
      <c r="AK450" s="2">
        <v>101</v>
      </c>
      <c r="AL450" s="2">
        <v>72.8</v>
      </c>
    </row>
    <row r="451" spans="37:38" x14ac:dyDescent="0.55000000000000004">
      <c r="AK451" s="2">
        <v>114</v>
      </c>
      <c r="AL451" s="2">
        <v>72.8</v>
      </c>
    </row>
    <row r="452" spans="37:38" x14ac:dyDescent="0.55000000000000004">
      <c r="AK452" s="2">
        <v>140</v>
      </c>
      <c r="AL452" s="2">
        <v>72.7</v>
      </c>
    </row>
    <row r="453" spans="37:38" x14ac:dyDescent="0.55000000000000004">
      <c r="AK453" s="2">
        <v>151</v>
      </c>
      <c r="AL453" s="2">
        <v>72.7</v>
      </c>
    </row>
    <row r="454" spans="37:38" x14ac:dyDescent="0.55000000000000004">
      <c r="AK454" s="2">
        <v>155</v>
      </c>
      <c r="AL454" s="2">
        <v>72.7</v>
      </c>
    </row>
    <row r="455" spans="37:38" x14ac:dyDescent="0.55000000000000004">
      <c r="AK455" s="2">
        <v>146</v>
      </c>
      <c r="AL455" s="2">
        <v>72.5</v>
      </c>
    </row>
    <row r="456" spans="37:38" x14ac:dyDescent="0.55000000000000004">
      <c r="AK456" s="2">
        <v>132</v>
      </c>
      <c r="AL456" s="2">
        <v>72.5</v>
      </c>
    </row>
    <row r="457" spans="37:38" x14ac:dyDescent="0.55000000000000004">
      <c r="AK457" s="2">
        <v>109</v>
      </c>
      <c r="AL457" s="2">
        <v>72.400000000000006</v>
      </c>
    </row>
    <row r="458" spans="37:38" x14ac:dyDescent="0.55000000000000004">
      <c r="AK458" s="2">
        <v>142</v>
      </c>
      <c r="AL458" s="2">
        <v>72.3</v>
      </c>
    </row>
    <row r="459" spans="37:38" x14ac:dyDescent="0.55000000000000004">
      <c r="AK459" s="2">
        <v>139</v>
      </c>
      <c r="AL459" s="2">
        <v>72.3</v>
      </c>
    </row>
    <row r="460" spans="37:38" x14ac:dyDescent="0.55000000000000004">
      <c r="AK460" s="2">
        <v>143</v>
      </c>
      <c r="AL460" s="2">
        <v>72.2</v>
      </c>
    </row>
    <row r="461" spans="37:38" x14ac:dyDescent="0.55000000000000004">
      <c r="AK461" s="2">
        <v>116</v>
      </c>
      <c r="AL461" s="2">
        <v>72.2</v>
      </c>
    </row>
    <row r="462" spans="37:38" x14ac:dyDescent="0.55000000000000004">
      <c r="AK462" s="2">
        <v>129</v>
      </c>
      <c r="AL462" s="2">
        <v>72</v>
      </c>
    </row>
    <row r="463" spans="37:38" x14ac:dyDescent="0.55000000000000004">
      <c r="AK463" s="2">
        <v>110</v>
      </c>
      <c r="AL463" s="2">
        <v>72</v>
      </c>
    </row>
    <row r="464" spans="37:38" x14ac:dyDescent="0.55000000000000004">
      <c r="AK464" s="2">
        <v>128</v>
      </c>
      <c r="AL464" s="2">
        <v>72</v>
      </c>
    </row>
    <row r="465" spans="37:38" x14ac:dyDescent="0.55000000000000004">
      <c r="AK465" s="2">
        <v>154</v>
      </c>
      <c r="AL465" s="2">
        <v>71.8</v>
      </c>
    </row>
    <row r="466" spans="37:38" x14ac:dyDescent="0.55000000000000004">
      <c r="AK466" s="2">
        <v>131</v>
      </c>
      <c r="AL466" s="2">
        <v>71.8</v>
      </c>
    </row>
    <row r="467" spans="37:38" x14ac:dyDescent="0.55000000000000004">
      <c r="AK467" s="2">
        <v>107</v>
      </c>
      <c r="AL467" s="2">
        <v>71.599999999999994</v>
      </c>
    </row>
    <row r="468" spans="37:38" x14ac:dyDescent="0.55000000000000004">
      <c r="AK468" s="2">
        <v>91</v>
      </c>
      <c r="AL468" s="2">
        <v>71.400000000000006</v>
      </c>
    </row>
    <row r="469" spans="37:38" x14ac:dyDescent="0.55000000000000004">
      <c r="AK469" s="2">
        <v>125</v>
      </c>
      <c r="AL469" s="2">
        <v>71.2</v>
      </c>
    </row>
    <row r="470" spans="37:38" x14ac:dyDescent="0.55000000000000004">
      <c r="AK470" s="2">
        <v>103</v>
      </c>
      <c r="AL470" s="2">
        <v>71.099999999999994</v>
      </c>
    </row>
    <row r="471" spans="37:38" x14ac:dyDescent="0.55000000000000004">
      <c r="AK471" s="2">
        <v>141</v>
      </c>
      <c r="AL471" s="2">
        <v>70.900000000000006</v>
      </c>
    </row>
    <row r="472" spans="37:38" x14ac:dyDescent="0.55000000000000004">
      <c r="AK472" s="2">
        <v>142</v>
      </c>
      <c r="AL472" s="2">
        <v>70.7</v>
      </c>
    </row>
    <row r="473" spans="37:38" x14ac:dyDescent="0.55000000000000004">
      <c r="AK473" s="2">
        <v>126</v>
      </c>
      <c r="AL473" s="2">
        <v>70.599999999999994</v>
      </c>
    </row>
    <row r="474" spans="37:38" x14ac:dyDescent="0.55000000000000004">
      <c r="AK474" s="2">
        <v>123</v>
      </c>
      <c r="AL474" s="2">
        <v>70.400000000000006</v>
      </c>
    </row>
    <row r="475" spans="37:38" x14ac:dyDescent="0.55000000000000004">
      <c r="AK475" s="2">
        <v>139</v>
      </c>
      <c r="AL475" s="2">
        <v>70.3</v>
      </c>
    </row>
    <row r="476" spans="37:38" x14ac:dyDescent="0.55000000000000004">
      <c r="AK476" s="2">
        <v>118</v>
      </c>
      <c r="AL476" s="2">
        <v>70.3</v>
      </c>
    </row>
    <row r="477" spans="37:38" x14ac:dyDescent="0.55000000000000004">
      <c r="AK477" s="2">
        <v>142</v>
      </c>
      <c r="AL477" s="2">
        <v>70.099999999999994</v>
      </c>
    </row>
    <row r="478" spans="37:38" x14ac:dyDescent="0.55000000000000004">
      <c r="AK478" s="2">
        <v>113</v>
      </c>
      <c r="AL478" s="2">
        <v>70.099999999999994</v>
      </c>
    </row>
    <row r="479" spans="37:38" x14ac:dyDescent="0.55000000000000004">
      <c r="AK479" s="2">
        <v>130</v>
      </c>
      <c r="AL479" s="2">
        <v>70.099999999999994</v>
      </c>
    </row>
    <row r="480" spans="37:38" x14ac:dyDescent="0.55000000000000004">
      <c r="AK480" s="2">
        <v>131</v>
      </c>
      <c r="AL480" s="2">
        <v>69.599999999999994</v>
      </c>
    </row>
    <row r="481" spans="37:38" x14ac:dyDescent="0.55000000000000004">
      <c r="AK481" s="2">
        <v>129</v>
      </c>
      <c r="AL481" s="2">
        <v>69.400000000000006</v>
      </c>
    </row>
    <row r="482" spans="37:38" x14ac:dyDescent="0.55000000000000004">
      <c r="AK482" s="2">
        <v>159</v>
      </c>
      <c r="AL482" s="2">
        <v>69.3</v>
      </c>
    </row>
    <row r="483" spans="37:38" x14ac:dyDescent="0.55000000000000004">
      <c r="AK483" s="2">
        <v>138</v>
      </c>
      <c r="AL483" s="2">
        <v>69.2</v>
      </c>
    </row>
    <row r="484" spans="37:38" x14ac:dyDescent="0.55000000000000004">
      <c r="AK484" s="2">
        <v>140</v>
      </c>
      <c r="AL484" s="2">
        <v>69</v>
      </c>
    </row>
    <row r="485" spans="37:38" x14ac:dyDescent="0.55000000000000004">
      <c r="AK485" s="2">
        <v>109</v>
      </c>
      <c r="AL485" s="2">
        <v>69</v>
      </c>
    </row>
    <row r="486" spans="37:38" x14ac:dyDescent="0.55000000000000004">
      <c r="AK486" s="2">
        <v>132</v>
      </c>
      <c r="AL486" s="2">
        <v>68.8</v>
      </c>
    </row>
    <row r="487" spans="37:38" x14ac:dyDescent="0.55000000000000004">
      <c r="AK487" s="2">
        <v>121</v>
      </c>
      <c r="AL487" s="2">
        <v>68.8</v>
      </c>
    </row>
    <row r="488" spans="37:38" x14ac:dyDescent="0.55000000000000004">
      <c r="AK488" s="2">
        <v>141</v>
      </c>
      <c r="AL488" s="2">
        <v>68.8</v>
      </c>
    </row>
    <row r="489" spans="37:38" x14ac:dyDescent="0.55000000000000004">
      <c r="AK489" s="2">
        <v>153</v>
      </c>
      <c r="AL489" s="2">
        <v>68.599999999999994</v>
      </c>
    </row>
    <row r="490" spans="37:38" x14ac:dyDescent="0.55000000000000004">
      <c r="AK490" s="2">
        <v>176</v>
      </c>
      <c r="AL490" s="2">
        <v>68.400000000000006</v>
      </c>
    </row>
    <row r="491" spans="37:38" x14ac:dyDescent="0.55000000000000004">
      <c r="AK491" s="2">
        <v>160</v>
      </c>
      <c r="AL491" s="2">
        <v>68.400000000000006</v>
      </c>
    </row>
    <row r="492" spans="37:38" x14ac:dyDescent="0.55000000000000004">
      <c r="AK492" s="2">
        <v>124</v>
      </c>
      <c r="AL492" s="2">
        <v>68.400000000000006</v>
      </c>
    </row>
    <row r="493" spans="37:38" x14ac:dyDescent="0.55000000000000004">
      <c r="AK493" s="2">
        <v>167</v>
      </c>
      <c r="AL493" s="2">
        <v>68.2</v>
      </c>
    </row>
    <row r="494" spans="37:38" x14ac:dyDescent="0.55000000000000004">
      <c r="AK494" s="2">
        <v>143</v>
      </c>
      <c r="AL494" s="2">
        <v>68.099999999999994</v>
      </c>
    </row>
    <row r="495" spans="37:38" x14ac:dyDescent="0.55000000000000004">
      <c r="AK495" s="2">
        <v>162</v>
      </c>
      <c r="AL495" s="2">
        <v>68.099999999999994</v>
      </c>
    </row>
    <row r="496" spans="37:38" x14ac:dyDescent="0.55000000000000004">
      <c r="AK496" s="2">
        <v>121</v>
      </c>
      <c r="AL496" s="2">
        <v>68.099999999999994</v>
      </c>
    </row>
    <row r="497" spans="37:38" x14ac:dyDescent="0.55000000000000004">
      <c r="AK497" s="2">
        <v>124</v>
      </c>
      <c r="AL497" s="2">
        <v>68</v>
      </c>
    </row>
    <row r="498" spans="37:38" x14ac:dyDescent="0.55000000000000004">
      <c r="AK498" s="2">
        <v>119</v>
      </c>
      <c r="AL498" s="2">
        <v>68</v>
      </c>
    </row>
    <row r="499" spans="37:38" x14ac:dyDescent="0.55000000000000004">
      <c r="AK499" s="2">
        <v>137</v>
      </c>
      <c r="AL499" s="2">
        <v>67.8</v>
      </c>
    </row>
    <row r="500" spans="37:38" x14ac:dyDescent="0.55000000000000004">
      <c r="AK500" s="2">
        <v>127</v>
      </c>
      <c r="AL500" s="2">
        <v>67.7</v>
      </c>
    </row>
    <row r="501" spans="37:38" x14ac:dyDescent="0.55000000000000004">
      <c r="AK501" s="2">
        <v>154</v>
      </c>
      <c r="AL501" s="2">
        <v>67.7</v>
      </c>
    </row>
    <row r="502" spans="37:38" x14ac:dyDescent="0.55000000000000004">
      <c r="AK502" s="2">
        <v>159</v>
      </c>
      <c r="AL502" s="2">
        <v>67.599999999999994</v>
      </c>
    </row>
    <row r="503" spans="37:38" x14ac:dyDescent="0.55000000000000004">
      <c r="AK503" s="2">
        <v>132</v>
      </c>
      <c r="AL503" s="2">
        <v>67.5</v>
      </c>
    </row>
    <row r="504" spans="37:38" x14ac:dyDescent="0.55000000000000004">
      <c r="AK504" s="2">
        <v>119</v>
      </c>
      <c r="AL504" s="2">
        <v>67.5</v>
      </c>
    </row>
    <row r="505" spans="37:38" x14ac:dyDescent="0.55000000000000004">
      <c r="AK505" s="2">
        <v>136</v>
      </c>
      <c r="AL505" s="2">
        <v>67.400000000000006</v>
      </c>
    </row>
    <row r="506" spans="37:38" x14ac:dyDescent="0.55000000000000004">
      <c r="AK506" s="2">
        <v>114</v>
      </c>
      <c r="AL506" s="2">
        <v>67.400000000000006</v>
      </c>
    </row>
    <row r="507" spans="37:38" x14ac:dyDescent="0.55000000000000004">
      <c r="AK507" s="2">
        <v>147</v>
      </c>
      <c r="AL507" s="2">
        <v>67.3</v>
      </c>
    </row>
    <row r="508" spans="37:38" x14ac:dyDescent="0.55000000000000004">
      <c r="AK508" s="2">
        <v>132</v>
      </c>
      <c r="AL508" s="2">
        <v>67.3</v>
      </c>
    </row>
    <row r="509" spans="37:38" x14ac:dyDescent="0.55000000000000004">
      <c r="AK509" s="2">
        <v>146</v>
      </c>
      <c r="AL509" s="2">
        <v>67.099999999999994</v>
      </c>
    </row>
    <row r="510" spans="37:38" x14ac:dyDescent="0.55000000000000004">
      <c r="AK510" s="2">
        <v>147</v>
      </c>
      <c r="AL510" s="2">
        <v>67</v>
      </c>
    </row>
    <row r="511" spans="37:38" x14ac:dyDescent="0.55000000000000004">
      <c r="AK511" s="2">
        <v>136</v>
      </c>
      <c r="AL511" s="2">
        <v>67</v>
      </c>
    </row>
    <row r="512" spans="37:38" x14ac:dyDescent="0.55000000000000004">
      <c r="AK512" s="2">
        <v>141</v>
      </c>
      <c r="AL512" s="2">
        <v>66.900000000000006</v>
      </c>
    </row>
    <row r="513" spans="37:38" x14ac:dyDescent="0.55000000000000004">
      <c r="AK513" s="2">
        <v>153</v>
      </c>
      <c r="AL513" s="2">
        <v>66.8</v>
      </c>
    </row>
    <row r="514" spans="37:38" x14ac:dyDescent="0.55000000000000004">
      <c r="AK514" s="2">
        <v>124</v>
      </c>
      <c r="AL514" s="2">
        <v>66.8</v>
      </c>
    </row>
    <row r="515" spans="37:38" x14ac:dyDescent="0.55000000000000004">
      <c r="AK515" s="2">
        <v>130</v>
      </c>
      <c r="AL515" s="2">
        <v>66.8</v>
      </c>
    </row>
    <row r="516" spans="37:38" x14ac:dyDescent="0.55000000000000004">
      <c r="AK516" s="2">
        <v>134</v>
      </c>
      <c r="AL516" s="2">
        <v>66.400000000000006</v>
      </c>
    </row>
    <row r="517" spans="37:38" x14ac:dyDescent="0.55000000000000004">
      <c r="AK517" s="2">
        <v>127</v>
      </c>
      <c r="AL517" s="2">
        <v>66.3</v>
      </c>
    </row>
    <row r="518" spans="37:38" x14ac:dyDescent="0.55000000000000004">
      <c r="AK518" s="2">
        <v>110</v>
      </c>
      <c r="AL518" s="2">
        <v>66.099999999999994</v>
      </c>
    </row>
    <row r="519" spans="37:38" x14ac:dyDescent="0.55000000000000004">
      <c r="AK519" s="2">
        <v>133</v>
      </c>
      <c r="AL519" s="2">
        <v>66</v>
      </c>
    </row>
    <row r="520" spans="37:38" x14ac:dyDescent="0.55000000000000004">
      <c r="AK520" s="2">
        <v>155</v>
      </c>
      <c r="AL520" s="2">
        <v>65.900000000000006</v>
      </c>
    </row>
    <row r="521" spans="37:38" x14ac:dyDescent="0.55000000000000004">
      <c r="AK521" s="2">
        <v>140</v>
      </c>
      <c r="AL521" s="2">
        <v>65.8</v>
      </c>
    </row>
    <row r="522" spans="37:38" x14ac:dyDescent="0.55000000000000004">
      <c r="AK522" s="2">
        <v>109</v>
      </c>
      <c r="AL522" s="2">
        <v>65.8</v>
      </c>
    </row>
    <row r="523" spans="37:38" x14ac:dyDescent="0.55000000000000004">
      <c r="AK523" s="2">
        <v>124</v>
      </c>
      <c r="AL523" s="2">
        <v>65.8</v>
      </c>
    </row>
    <row r="524" spans="37:38" x14ac:dyDescent="0.55000000000000004">
      <c r="AK524" s="2">
        <v>162</v>
      </c>
      <c r="AL524" s="2">
        <v>65.8</v>
      </c>
    </row>
    <row r="525" spans="37:38" x14ac:dyDescent="0.55000000000000004">
      <c r="AK525" s="2">
        <v>119</v>
      </c>
      <c r="AL525" s="2">
        <v>65.5</v>
      </c>
    </row>
    <row r="526" spans="37:38" x14ac:dyDescent="0.55000000000000004">
      <c r="AK526" s="2">
        <v>100</v>
      </c>
      <c r="AL526" s="2">
        <v>65.5</v>
      </c>
    </row>
    <row r="527" spans="37:38" x14ac:dyDescent="0.55000000000000004">
      <c r="AK527" s="2">
        <v>135</v>
      </c>
      <c r="AL527" s="2">
        <v>65.5</v>
      </c>
    </row>
    <row r="528" spans="37:38" x14ac:dyDescent="0.55000000000000004">
      <c r="AK528" s="2">
        <v>103</v>
      </c>
      <c r="AL528" s="2">
        <v>65.5</v>
      </c>
    </row>
    <row r="529" spans="37:38" x14ac:dyDescent="0.55000000000000004">
      <c r="AK529" s="2">
        <v>132</v>
      </c>
      <c r="AL529" s="2">
        <v>65.5</v>
      </c>
    </row>
    <row r="530" spans="37:38" x14ac:dyDescent="0.55000000000000004">
      <c r="AK530" s="2">
        <v>129</v>
      </c>
      <c r="AL530" s="2">
        <v>65.400000000000006</v>
      </c>
    </row>
    <row r="531" spans="37:38" x14ac:dyDescent="0.55000000000000004">
      <c r="AK531" s="2">
        <v>142</v>
      </c>
      <c r="AL531" s="2">
        <v>65.3</v>
      </c>
    </row>
    <row r="532" spans="37:38" x14ac:dyDescent="0.55000000000000004">
      <c r="AK532" s="2">
        <v>145</v>
      </c>
      <c r="AL532" s="2">
        <v>65.2</v>
      </c>
    </row>
    <row r="533" spans="37:38" x14ac:dyDescent="0.55000000000000004">
      <c r="AK533" s="2">
        <v>123</v>
      </c>
      <c r="AL533" s="2">
        <v>65.2</v>
      </c>
    </row>
    <row r="534" spans="37:38" x14ac:dyDescent="0.55000000000000004">
      <c r="AK534" s="2">
        <v>140</v>
      </c>
      <c r="AL534" s="2">
        <v>65.2</v>
      </c>
    </row>
    <row r="535" spans="37:38" x14ac:dyDescent="0.55000000000000004">
      <c r="AK535" s="2">
        <v>139</v>
      </c>
      <c r="AL535" s="2">
        <v>65.2</v>
      </c>
    </row>
    <row r="536" spans="37:38" x14ac:dyDescent="0.55000000000000004">
      <c r="AK536" s="2">
        <v>131</v>
      </c>
      <c r="AL536" s="2">
        <v>64.8</v>
      </c>
    </row>
    <row r="537" spans="37:38" x14ac:dyDescent="0.55000000000000004">
      <c r="AK537" s="2">
        <v>130</v>
      </c>
      <c r="AL537" s="2">
        <v>64.7</v>
      </c>
    </row>
    <row r="538" spans="37:38" x14ac:dyDescent="0.55000000000000004">
      <c r="AK538" s="2">
        <v>155</v>
      </c>
      <c r="AL538" s="2">
        <v>64.599999999999994</v>
      </c>
    </row>
    <row r="539" spans="37:38" x14ac:dyDescent="0.55000000000000004">
      <c r="AK539" s="2">
        <v>128</v>
      </c>
      <c r="AL539" s="2">
        <v>64.3</v>
      </c>
    </row>
    <row r="540" spans="37:38" x14ac:dyDescent="0.55000000000000004">
      <c r="AK540" s="2">
        <v>120</v>
      </c>
      <c r="AL540" s="2">
        <v>64.3</v>
      </c>
    </row>
    <row r="541" spans="37:38" x14ac:dyDescent="0.55000000000000004">
      <c r="AK541" s="2">
        <v>154</v>
      </c>
      <c r="AL541" s="2">
        <v>64.3</v>
      </c>
    </row>
    <row r="542" spans="37:38" x14ac:dyDescent="0.55000000000000004">
      <c r="AK542" s="2">
        <v>155</v>
      </c>
      <c r="AL542" s="2">
        <v>64.2</v>
      </c>
    </row>
    <row r="543" spans="37:38" x14ac:dyDescent="0.55000000000000004">
      <c r="AK543" s="2">
        <v>130</v>
      </c>
      <c r="AL543" s="2">
        <v>64.099999999999994</v>
      </c>
    </row>
    <row r="544" spans="37:38" x14ac:dyDescent="0.55000000000000004">
      <c r="AK544" s="2">
        <v>135</v>
      </c>
      <c r="AL544" s="2">
        <v>64</v>
      </c>
    </row>
    <row r="545" spans="37:38" x14ac:dyDescent="0.55000000000000004">
      <c r="AK545" s="2">
        <v>122</v>
      </c>
      <c r="AL545" s="2">
        <v>64</v>
      </c>
    </row>
    <row r="546" spans="37:38" x14ac:dyDescent="0.55000000000000004">
      <c r="AK546" s="2">
        <v>144</v>
      </c>
      <c r="AL546" s="2">
        <v>63.9</v>
      </c>
    </row>
    <row r="547" spans="37:38" x14ac:dyDescent="0.55000000000000004">
      <c r="AK547" s="2">
        <v>80</v>
      </c>
      <c r="AL547" s="2">
        <v>63.9</v>
      </c>
    </row>
    <row r="548" spans="37:38" x14ac:dyDescent="0.55000000000000004">
      <c r="AK548" s="2">
        <v>142</v>
      </c>
      <c r="AL548" s="2">
        <v>63.9</v>
      </c>
    </row>
    <row r="549" spans="37:38" x14ac:dyDescent="0.55000000000000004">
      <c r="AK549" s="2">
        <v>151</v>
      </c>
      <c r="AL549" s="2">
        <v>63.8</v>
      </c>
    </row>
    <row r="550" spans="37:38" x14ac:dyDescent="0.55000000000000004">
      <c r="AK550" s="2">
        <v>139</v>
      </c>
      <c r="AL550" s="2">
        <v>63.7</v>
      </c>
    </row>
    <row r="551" spans="37:38" x14ac:dyDescent="0.55000000000000004">
      <c r="AK551" s="2">
        <v>126</v>
      </c>
      <c r="AL551" s="2">
        <v>63.5</v>
      </c>
    </row>
    <row r="552" spans="37:38" x14ac:dyDescent="0.55000000000000004">
      <c r="AK552" s="2">
        <v>112</v>
      </c>
      <c r="AL552" s="2">
        <v>63.4</v>
      </c>
    </row>
    <row r="553" spans="37:38" x14ac:dyDescent="0.55000000000000004">
      <c r="AK553" s="2">
        <v>99</v>
      </c>
      <c r="AL553" s="2">
        <v>63.3</v>
      </c>
    </row>
    <row r="554" spans="37:38" x14ac:dyDescent="0.55000000000000004">
      <c r="AK554" s="2">
        <v>137</v>
      </c>
      <c r="AL554" s="2">
        <v>63.1</v>
      </c>
    </row>
    <row r="555" spans="37:38" x14ac:dyDescent="0.55000000000000004">
      <c r="AK555" s="2">
        <v>133</v>
      </c>
      <c r="AL555" s="2">
        <v>63</v>
      </c>
    </row>
    <row r="556" spans="37:38" x14ac:dyDescent="0.55000000000000004">
      <c r="AK556" s="2">
        <v>146</v>
      </c>
      <c r="AL556" s="2">
        <v>62.8</v>
      </c>
    </row>
    <row r="557" spans="37:38" x14ac:dyDescent="0.55000000000000004">
      <c r="AK557" s="2">
        <v>137</v>
      </c>
      <c r="AL557" s="2">
        <v>62.8</v>
      </c>
    </row>
    <row r="558" spans="37:38" x14ac:dyDescent="0.55000000000000004">
      <c r="AK558" s="2">
        <v>141</v>
      </c>
      <c r="AL558" s="2">
        <v>62.8</v>
      </c>
    </row>
    <row r="559" spans="37:38" x14ac:dyDescent="0.55000000000000004">
      <c r="AK559" s="2">
        <v>144</v>
      </c>
      <c r="AL559" s="2">
        <v>62.6</v>
      </c>
    </row>
    <row r="560" spans="37:38" x14ac:dyDescent="0.55000000000000004">
      <c r="AK560" s="2">
        <v>145</v>
      </c>
      <c r="AL560" s="2">
        <v>62.4</v>
      </c>
    </row>
    <row r="561" spans="37:38" x14ac:dyDescent="0.55000000000000004">
      <c r="AK561" s="2">
        <v>157</v>
      </c>
      <c r="AL561" s="2">
        <v>62.4</v>
      </c>
    </row>
    <row r="562" spans="37:38" x14ac:dyDescent="0.55000000000000004">
      <c r="AK562" s="2">
        <v>102</v>
      </c>
      <c r="AL562" s="2">
        <v>62.3</v>
      </c>
    </row>
    <row r="563" spans="37:38" x14ac:dyDescent="0.55000000000000004">
      <c r="AK563" s="2">
        <v>114</v>
      </c>
      <c r="AL563" s="2">
        <v>62.2</v>
      </c>
    </row>
    <row r="564" spans="37:38" x14ac:dyDescent="0.55000000000000004">
      <c r="AK564" s="2">
        <v>150</v>
      </c>
      <c r="AL564" s="2">
        <v>62.1</v>
      </c>
    </row>
    <row r="565" spans="37:38" x14ac:dyDescent="0.55000000000000004">
      <c r="AK565" s="2">
        <v>151</v>
      </c>
      <c r="AL565" s="2">
        <v>62.1</v>
      </c>
    </row>
    <row r="566" spans="37:38" x14ac:dyDescent="0.55000000000000004">
      <c r="AK566" s="2">
        <v>137</v>
      </c>
      <c r="AL566" s="2">
        <v>61.9</v>
      </c>
    </row>
    <row r="567" spans="37:38" x14ac:dyDescent="0.55000000000000004">
      <c r="AK567" s="2">
        <v>135</v>
      </c>
      <c r="AL567" s="2">
        <v>61.7</v>
      </c>
    </row>
    <row r="568" spans="37:38" x14ac:dyDescent="0.55000000000000004">
      <c r="AK568" s="2">
        <v>122</v>
      </c>
      <c r="AL568" s="2">
        <v>61.5</v>
      </c>
    </row>
    <row r="569" spans="37:38" x14ac:dyDescent="0.55000000000000004">
      <c r="AK569" s="2">
        <v>127</v>
      </c>
      <c r="AL569" s="2">
        <v>61.4</v>
      </c>
    </row>
    <row r="570" spans="37:38" x14ac:dyDescent="0.55000000000000004">
      <c r="AK570" s="2">
        <v>121</v>
      </c>
      <c r="AL570" s="2">
        <v>61.4</v>
      </c>
    </row>
    <row r="571" spans="37:38" x14ac:dyDescent="0.55000000000000004">
      <c r="AK571" s="2">
        <v>125</v>
      </c>
      <c r="AL571" s="2">
        <v>61.3</v>
      </c>
    </row>
    <row r="572" spans="37:38" x14ac:dyDescent="0.55000000000000004">
      <c r="AK572" s="2">
        <v>135</v>
      </c>
      <c r="AL572" s="2">
        <v>61.2</v>
      </c>
    </row>
    <row r="573" spans="37:38" x14ac:dyDescent="0.55000000000000004">
      <c r="AK573" s="2">
        <v>155</v>
      </c>
      <c r="AL573" s="2">
        <v>61.1</v>
      </c>
    </row>
    <row r="574" spans="37:38" x14ac:dyDescent="0.55000000000000004">
      <c r="AK574" s="2">
        <v>115</v>
      </c>
      <c r="AL574" s="2">
        <v>61.1</v>
      </c>
    </row>
    <row r="575" spans="37:38" x14ac:dyDescent="0.55000000000000004">
      <c r="AK575" s="2">
        <v>119</v>
      </c>
      <c r="AL575" s="2">
        <v>61.1</v>
      </c>
    </row>
    <row r="576" spans="37:38" x14ac:dyDescent="0.55000000000000004">
      <c r="AK576" s="2">
        <v>143</v>
      </c>
      <c r="AL576" s="2">
        <v>61</v>
      </c>
    </row>
    <row r="577" spans="37:38" x14ac:dyDescent="0.55000000000000004">
      <c r="AK577" s="2">
        <v>137</v>
      </c>
      <c r="AL577" s="2">
        <v>60.8</v>
      </c>
    </row>
    <row r="578" spans="37:38" x14ac:dyDescent="0.55000000000000004">
      <c r="AK578" s="2">
        <v>148</v>
      </c>
      <c r="AL578" s="2">
        <v>60.8</v>
      </c>
    </row>
    <row r="579" spans="37:38" x14ac:dyDescent="0.55000000000000004">
      <c r="AK579" s="2">
        <v>125</v>
      </c>
      <c r="AL579" s="2">
        <v>60.7</v>
      </c>
    </row>
    <row r="580" spans="37:38" x14ac:dyDescent="0.55000000000000004">
      <c r="AK580" s="2">
        <v>136</v>
      </c>
      <c r="AL580" s="2">
        <v>60.6</v>
      </c>
    </row>
    <row r="581" spans="37:38" x14ac:dyDescent="0.55000000000000004">
      <c r="AK581" s="2">
        <v>125</v>
      </c>
      <c r="AL581" s="2">
        <v>60.6</v>
      </c>
    </row>
    <row r="582" spans="37:38" x14ac:dyDescent="0.55000000000000004">
      <c r="AK582" s="2">
        <v>124</v>
      </c>
      <c r="AL582" s="2">
        <v>60.3</v>
      </c>
    </row>
    <row r="583" spans="37:38" x14ac:dyDescent="0.55000000000000004">
      <c r="AK583" s="2">
        <v>123</v>
      </c>
      <c r="AL583" s="2">
        <v>60.3</v>
      </c>
    </row>
    <row r="584" spans="37:38" x14ac:dyDescent="0.55000000000000004">
      <c r="AK584" s="2">
        <v>142</v>
      </c>
      <c r="AL584" s="2">
        <v>60.3</v>
      </c>
    </row>
    <row r="585" spans="37:38" x14ac:dyDescent="0.55000000000000004">
      <c r="AK585" s="2">
        <v>130</v>
      </c>
      <c r="AL585" s="2">
        <v>60.2</v>
      </c>
    </row>
    <row r="586" spans="37:38" x14ac:dyDescent="0.55000000000000004">
      <c r="AK586" s="2">
        <v>150</v>
      </c>
      <c r="AL586" s="2">
        <v>60</v>
      </c>
    </row>
    <row r="587" spans="37:38" x14ac:dyDescent="0.55000000000000004">
      <c r="AK587" s="2">
        <v>99</v>
      </c>
      <c r="AL587" s="2">
        <v>59.9</v>
      </c>
    </row>
    <row r="588" spans="37:38" x14ac:dyDescent="0.55000000000000004">
      <c r="AK588" s="2">
        <v>134</v>
      </c>
      <c r="AL588" s="2">
        <v>59.9</v>
      </c>
    </row>
    <row r="589" spans="37:38" x14ac:dyDescent="0.55000000000000004">
      <c r="AK589" s="2">
        <v>121</v>
      </c>
      <c r="AL589" s="2">
        <v>59.8</v>
      </c>
    </row>
    <row r="590" spans="37:38" x14ac:dyDescent="0.55000000000000004">
      <c r="AK590" s="2">
        <v>139</v>
      </c>
      <c r="AL590" s="2">
        <v>59.8</v>
      </c>
    </row>
    <row r="591" spans="37:38" x14ac:dyDescent="0.55000000000000004">
      <c r="AK591" s="2">
        <v>153</v>
      </c>
      <c r="AL591" s="2">
        <v>59.5</v>
      </c>
    </row>
    <row r="592" spans="37:38" x14ac:dyDescent="0.55000000000000004">
      <c r="AK592" s="2">
        <v>122</v>
      </c>
      <c r="AL592" s="2">
        <v>59.4</v>
      </c>
    </row>
    <row r="593" spans="37:38" x14ac:dyDescent="0.55000000000000004">
      <c r="AK593" s="2">
        <v>149</v>
      </c>
      <c r="AL593" s="2">
        <v>59.3</v>
      </c>
    </row>
    <row r="594" spans="37:38" x14ac:dyDescent="0.55000000000000004">
      <c r="AK594" s="2">
        <v>139</v>
      </c>
      <c r="AL594" s="2">
        <v>59.3</v>
      </c>
    </row>
    <row r="595" spans="37:38" x14ac:dyDescent="0.55000000000000004">
      <c r="AK595" s="2">
        <v>152</v>
      </c>
      <c r="AL595" s="2">
        <v>59.2</v>
      </c>
    </row>
    <row r="596" spans="37:38" x14ac:dyDescent="0.55000000000000004">
      <c r="AK596" s="2">
        <v>143</v>
      </c>
      <c r="AL596" s="2">
        <v>59.1</v>
      </c>
    </row>
    <row r="597" spans="37:38" x14ac:dyDescent="0.55000000000000004">
      <c r="AK597" s="2">
        <v>114</v>
      </c>
      <c r="AL597" s="2">
        <v>59.1</v>
      </c>
    </row>
    <row r="598" spans="37:38" x14ac:dyDescent="0.55000000000000004">
      <c r="AK598" s="2">
        <v>114</v>
      </c>
      <c r="AL598" s="2">
        <v>59</v>
      </c>
    </row>
    <row r="599" spans="37:38" x14ac:dyDescent="0.55000000000000004">
      <c r="AK599" s="2">
        <v>116</v>
      </c>
      <c r="AL599" s="2">
        <v>58.8</v>
      </c>
    </row>
    <row r="600" spans="37:38" x14ac:dyDescent="0.55000000000000004">
      <c r="AK600" s="2">
        <v>124</v>
      </c>
      <c r="AL600" s="2">
        <v>58.8</v>
      </c>
    </row>
    <row r="601" spans="37:38" x14ac:dyDescent="0.55000000000000004">
      <c r="AK601" s="2">
        <v>140</v>
      </c>
      <c r="AL601" s="2">
        <v>58.6</v>
      </c>
    </row>
    <row r="602" spans="37:38" x14ac:dyDescent="0.55000000000000004">
      <c r="AK602" s="2">
        <v>117</v>
      </c>
      <c r="AL602" s="2">
        <v>58.5</v>
      </c>
    </row>
    <row r="603" spans="37:38" x14ac:dyDescent="0.55000000000000004">
      <c r="AK603" s="2">
        <v>148</v>
      </c>
      <c r="AL603" s="2">
        <v>58.2</v>
      </c>
    </row>
    <row r="604" spans="37:38" x14ac:dyDescent="0.55000000000000004">
      <c r="AK604" s="2">
        <v>139</v>
      </c>
      <c r="AL604" s="2">
        <v>57.8</v>
      </c>
    </row>
    <row r="605" spans="37:38" x14ac:dyDescent="0.55000000000000004">
      <c r="AK605" s="2">
        <v>121</v>
      </c>
      <c r="AL605" s="2">
        <v>57.8</v>
      </c>
    </row>
    <row r="606" spans="37:38" x14ac:dyDescent="0.55000000000000004">
      <c r="AK606" s="2">
        <v>118</v>
      </c>
      <c r="AL606" s="2">
        <v>57.8</v>
      </c>
    </row>
    <row r="607" spans="37:38" x14ac:dyDescent="0.55000000000000004">
      <c r="AK607" s="2">
        <v>118</v>
      </c>
      <c r="AL607" s="2">
        <v>57.7</v>
      </c>
    </row>
    <row r="608" spans="37:38" x14ac:dyDescent="0.55000000000000004">
      <c r="AK608" s="2">
        <v>127</v>
      </c>
      <c r="AL608" s="2">
        <v>57.6</v>
      </c>
    </row>
    <row r="609" spans="37:38" x14ac:dyDescent="0.55000000000000004">
      <c r="AK609" s="2">
        <v>134</v>
      </c>
      <c r="AL609" s="2">
        <v>57.6</v>
      </c>
    </row>
    <row r="610" spans="37:38" x14ac:dyDescent="0.55000000000000004">
      <c r="AK610" s="2">
        <v>129</v>
      </c>
      <c r="AL610" s="2">
        <v>57.5</v>
      </c>
    </row>
    <row r="611" spans="37:38" x14ac:dyDescent="0.55000000000000004">
      <c r="AK611" s="2">
        <v>141</v>
      </c>
      <c r="AL611" s="2">
        <v>57.4</v>
      </c>
    </row>
    <row r="612" spans="37:38" x14ac:dyDescent="0.55000000000000004">
      <c r="AK612" s="2">
        <v>136</v>
      </c>
      <c r="AL612" s="2">
        <v>57.4</v>
      </c>
    </row>
    <row r="613" spans="37:38" x14ac:dyDescent="0.55000000000000004">
      <c r="AK613" s="2">
        <v>109</v>
      </c>
      <c r="AL613" s="2">
        <v>57.2</v>
      </c>
    </row>
    <row r="614" spans="37:38" x14ac:dyDescent="0.55000000000000004">
      <c r="AK614" s="2">
        <v>125</v>
      </c>
      <c r="AL614" s="2">
        <v>57.2</v>
      </c>
    </row>
    <row r="615" spans="37:38" x14ac:dyDescent="0.55000000000000004">
      <c r="AK615" s="2">
        <v>127</v>
      </c>
      <c r="AL615" s="2">
        <v>57.1</v>
      </c>
    </row>
    <row r="616" spans="37:38" x14ac:dyDescent="0.55000000000000004">
      <c r="AK616" s="2">
        <v>131</v>
      </c>
      <c r="AL616" s="2">
        <v>57</v>
      </c>
    </row>
    <row r="617" spans="37:38" x14ac:dyDescent="0.55000000000000004">
      <c r="AK617" s="2">
        <v>122</v>
      </c>
      <c r="AL617" s="2">
        <v>57</v>
      </c>
    </row>
    <row r="618" spans="37:38" x14ac:dyDescent="0.55000000000000004">
      <c r="AK618" s="2">
        <v>142</v>
      </c>
      <c r="AL618" s="2">
        <v>56.9</v>
      </c>
    </row>
    <row r="619" spans="37:38" x14ac:dyDescent="0.55000000000000004">
      <c r="AK619" s="2">
        <v>156</v>
      </c>
      <c r="AL619" s="2">
        <v>56.8</v>
      </c>
    </row>
    <row r="620" spans="37:38" x14ac:dyDescent="0.55000000000000004">
      <c r="AK620" s="2">
        <v>117</v>
      </c>
      <c r="AL620" s="2">
        <v>56.7</v>
      </c>
    </row>
    <row r="621" spans="37:38" x14ac:dyDescent="0.55000000000000004">
      <c r="AK621" s="2">
        <v>128</v>
      </c>
      <c r="AL621" s="2">
        <v>56.6</v>
      </c>
    </row>
    <row r="622" spans="37:38" x14ac:dyDescent="0.55000000000000004">
      <c r="AK622" s="2">
        <v>128</v>
      </c>
      <c r="AL622" s="2">
        <v>56.3</v>
      </c>
    </row>
    <row r="623" spans="37:38" x14ac:dyDescent="0.55000000000000004">
      <c r="AK623" s="2">
        <v>144</v>
      </c>
      <c r="AL623" s="2">
        <v>56.2</v>
      </c>
    </row>
    <row r="624" spans="37:38" x14ac:dyDescent="0.55000000000000004">
      <c r="AK624" s="2">
        <v>144</v>
      </c>
      <c r="AL624" s="2">
        <v>56.1</v>
      </c>
    </row>
    <row r="625" spans="37:38" x14ac:dyDescent="0.55000000000000004">
      <c r="AK625" s="2">
        <v>133</v>
      </c>
      <c r="AL625" s="2">
        <v>56</v>
      </c>
    </row>
    <row r="626" spans="37:38" x14ac:dyDescent="0.55000000000000004">
      <c r="AK626" s="2">
        <v>117</v>
      </c>
      <c r="AL626" s="2">
        <v>55.9</v>
      </c>
    </row>
    <row r="627" spans="37:38" x14ac:dyDescent="0.55000000000000004">
      <c r="AK627" s="2">
        <v>141</v>
      </c>
      <c r="AL627" s="2">
        <v>55.9</v>
      </c>
    </row>
    <row r="628" spans="37:38" x14ac:dyDescent="0.55000000000000004">
      <c r="AK628" s="2">
        <v>101</v>
      </c>
      <c r="AL628" s="2">
        <v>55.4</v>
      </c>
    </row>
    <row r="629" spans="37:38" x14ac:dyDescent="0.55000000000000004">
      <c r="AK629" s="2">
        <v>130</v>
      </c>
      <c r="AL629" s="2">
        <v>55.1</v>
      </c>
    </row>
    <row r="630" spans="37:38" x14ac:dyDescent="0.55000000000000004">
      <c r="AK630" s="2">
        <v>122</v>
      </c>
      <c r="AL630" s="2">
        <v>54.8</v>
      </c>
    </row>
    <row r="631" spans="37:38" x14ac:dyDescent="0.55000000000000004">
      <c r="AK631" s="2">
        <v>93</v>
      </c>
      <c r="AL631" s="2">
        <v>54.6</v>
      </c>
    </row>
    <row r="632" spans="37:38" x14ac:dyDescent="0.55000000000000004">
      <c r="AK632" s="2">
        <v>145</v>
      </c>
      <c r="AL632" s="2">
        <v>54.4</v>
      </c>
    </row>
    <row r="633" spans="37:38" x14ac:dyDescent="0.55000000000000004">
      <c r="AK633" s="2">
        <v>162</v>
      </c>
      <c r="AL633" s="2">
        <v>54.4</v>
      </c>
    </row>
    <row r="634" spans="37:38" x14ac:dyDescent="0.55000000000000004">
      <c r="AK634" s="2">
        <v>121</v>
      </c>
      <c r="AL634" s="2">
        <v>54.1</v>
      </c>
    </row>
    <row r="635" spans="37:38" x14ac:dyDescent="0.55000000000000004">
      <c r="AK635" s="2">
        <v>131</v>
      </c>
      <c r="AL635" s="2">
        <v>54.1</v>
      </c>
    </row>
    <row r="636" spans="37:38" x14ac:dyDescent="0.55000000000000004">
      <c r="AK636" s="2">
        <v>126</v>
      </c>
      <c r="AL636" s="2">
        <v>53.7</v>
      </c>
    </row>
    <row r="637" spans="37:38" x14ac:dyDescent="0.55000000000000004">
      <c r="AK637" s="2">
        <v>106</v>
      </c>
      <c r="AL637" s="2">
        <v>53.5</v>
      </c>
    </row>
    <row r="638" spans="37:38" x14ac:dyDescent="0.55000000000000004">
      <c r="AK638" s="2">
        <v>145</v>
      </c>
      <c r="AL638" s="2">
        <v>53.3</v>
      </c>
    </row>
    <row r="639" spans="37:38" x14ac:dyDescent="0.55000000000000004">
      <c r="AK639" s="2">
        <v>127</v>
      </c>
      <c r="AL639" s="2">
        <v>53.2</v>
      </c>
    </row>
    <row r="640" spans="37:38" x14ac:dyDescent="0.55000000000000004">
      <c r="AK640" s="2">
        <v>141</v>
      </c>
      <c r="AL640" s="2">
        <v>53.1</v>
      </c>
    </row>
    <row r="641" spans="37:38" x14ac:dyDescent="0.55000000000000004">
      <c r="AK641" s="2">
        <v>145</v>
      </c>
      <c r="AL641" s="2">
        <v>53.1</v>
      </c>
    </row>
    <row r="642" spans="37:38" x14ac:dyDescent="0.55000000000000004">
      <c r="AK642" s="2">
        <v>110</v>
      </c>
      <c r="AL642" s="2">
        <v>53.1</v>
      </c>
    </row>
    <row r="643" spans="37:38" x14ac:dyDescent="0.55000000000000004">
      <c r="AK643" s="2">
        <v>123</v>
      </c>
      <c r="AL643" s="2">
        <v>52.9</v>
      </c>
    </row>
    <row r="644" spans="37:38" x14ac:dyDescent="0.55000000000000004">
      <c r="AK644" s="2">
        <v>115</v>
      </c>
      <c r="AL644" s="2">
        <v>52.9</v>
      </c>
    </row>
    <row r="645" spans="37:38" x14ac:dyDescent="0.55000000000000004">
      <c r="AK645" s="2">
        <v>130</v>
      </c>
      <c r="AL645" s="2">
        <v>52.9</v>
      </c>
    </row>
    <row r="646" spans="37:38" x14ac:dyDescent="0.55000000000000004">
      <c r="AK646" s="2">
        <v>121</v>
      </c>
      <c r="AL646" s="2">
        <v>52.9</v>
      </c>
    </row>
    <row r="647" spans="37:38" x14ac:dyDescent="0.55000000000000004">
      <c r="AK647" s="2">
        <v>121</v>
      </c>
      <c r="AL647" s="2">
        <v>52.9</v>
      </c>
    </row>
    <row r="648" spans="37:38" x14ac:dyDescent="0.55000000000000004">
      <c r="AK648" s="2">
        <v>130</v>
      </c>
      <c r="AL648" s="2">
        <v>52.4</v>
      </c>
    </row>
    <row r="649" spans="37:38" x14ac:dyDescent="0.55000000000000004">
      <c r="AK649" s="2">
        <v>117</v>
      </c>
      <c r="AL649" s="2">
        <v>52.4</v>
      </c>
    </row>
    <row r="650" spans="37:38" x14ac:dyDescent="0.55000000000000004">
      <c r="AK650" s="2">
        <v>129</v>
      </c>
      <c r="AL650" s="2">
        <v>52.2</v>
      </c>
    </row>
    <row r="651" spans="37:38" x14ac:dyDescent="0.55000000000000004">
      <c r="AK651" s="2">
        <v>128</v>
      </c>
      <c r="AL651" s="2">
        <v>52.2</v>
      </c>
    </row>
    <row r="652" spans="37:38" x14ac:dyDescent="0.55000000000000004">
      <c r="AK652" s="2">
        <v>138</v>
      </c>
      <c r="AL652" s="2">
        <v>52.2</v>
      </c>
    </row>
    <row r="653" spans="37:38" x14ac:dyDescent="0.55000000000000004">
      <c r="AK653" s="2">
        <v>121</v>
      </c>
      <c r="AL653" s="2">
        <v>52.2</v>
      </c>
    </row>
    <row r="654" spans="37:38" x14ac:dyDescent="0.55000000000000004">
      <c r="AK654" s="2">
        <v>121</v>
      </c>
      <c r="AL654" s="2">
        <v>51.9</v>
      </c>
    </row>
    <row r="655" spans="37:38" x14ac:dyDescent="0.55000000000000004">
      <c r="AK655" s="2">
        <v>139</v>
      </c>
      <c r="AL655" s="2">
        <v>51.8</v>
      </c>
    </row>
    <row r="656" spans="37:38" x14ac:dyDescent="0.55000000000000004">
      <c r="AK656" s="2">
        <v>134</v>
      </c>
      <c r="AL656" s="2">
        <v>51.8</v>
      </c>
    </row>
    <row r="657" spans="37:38" x14ac:dyDescent="0.55000000000000004">
      <c r="AK657" s="2">
        <v>154</v>
      </c>
      <c r="AL657" s="2">
        <v>51.8</v>
      </c>
    </row>
    <row r="658" spans="37:38" x14ac:dyDescent="0.55000000000000004">
      <c r="AK658" s="2">
        <v>129</v>
      </c>
      <c r="AL658" s="2">
        <v>51.7</v>
      </c>
    </row>
    <row r="659" spans="37:38" x14ac:dyDescent="0.55000000000000004">
      <c r="AK659" s="2">
        <v>119</v>
      </c>
      <c r="AL659" s="2">
        <v>51.4</v>
      </c>
    </row>
    <row r="660" spans="37:38" x14ac:dyDescent="0.55000000000000004">
      <c r="AK660" s="2">
        <v>141</v>
      </c>
      <c r="AL660" s="2">
        <v>51.2</v>
      </c>
    </row>
    <row r="661" spans="37:38" x14ac:dyDescent="0.55000000000000004">
      <c r="AK661" s="2">
        <v>136</v>
      </c>
      <c r="AL661" s="2">
        <v>50.9</v>
      </c>
    </row>
    <row r="662" spans="37:38" x14ac:dyDescent="0.55000000000000004">
      <c r="AK662" s="2">
        <v>143</v>
      </c>
      <c r="AL662" s="2">
        <v>50.9</v>
      </c>
    </row>
    <row r="663" spans="37:38" x14ac:dyDescent="0.55000000000000004">
      <c r="AK663" s="2">
        <v>131</v>
      </c>
      <c r="AL663" s="2">
        <v>50.6</v>
      </c>
    </row>
    <row r="664" spans="37:38" x14ac:dyDescent="0.55000000000000004">
      <c r="AK664" s="2">
        <v>134</v>
      </c>
      <c r="AL664" s="2">
        <v>50</v>
      </c>
    </row>
    <row r="665" spans="37:38" x14ac:dyDescent="0.55000000000000004">
      <c r="AK665" s="2">
        <v>111</v>
      </c>
      <c r="AL665" s="2">
        <v>49.9</v>
      </c>
    </row>
    <row r="666" spans="37:38" x14ac:dyDescent="0.55000000000000004">
      <c r="AK666" s="2">
        <v>132</v>
      </c>
      <c r="AL666" s="2">
        <v>49.9</v>
      </c>
    </row>
    <row r="667" spans="37:38" x14ac:dyDescent="0.55000000000000004">
      <c r="AK667" s="2">
        <v>115</v>
      </c>
      <c r="AL667" s="2">
        <v>49.9</v>
      </c>
    </row>
    <row r="668" spans="37:38" x14ac:dyDescent="0.55000000000000004">
      <c r="AK668" s="2">
        <v>129</v>
      </c>
      <c r="AL668" s="2">
        <v>49.9</v>
      </c>
    </row>
    <row r="669" spans="37:38" x14ac:dyDescent="0.55000000000000004">
      <c r="AK669" s="2">
        <v>111</v>
      </c>
      <c r="AL669" s="2">
        <v>49.9</v>
      </c>
    </row>
    <row r="670" spans="37:38" x14ac:dyDescent="0.55000000000000004">
      <c r="AK670" s="2">
        <v>131</v>
      </c>
      <c r="AL670" s="2">
        <v>49.7</v>
      </c>
    </row>
    <row r="671" spans="37:38" x14ac:dyDescent="0.55000000000000004">
      <c r="AK671" s="2">
        <v>144</v>
      </c>
      <c r="AL671" s="2">
        <v>49.7</v>
      </c>
    </row>
    <row r="672" spans="37:38" x14ac:dyDescent="0.55000000000000004">
      <c r="AK672" s="2">
        <v>150</v>
      </c>
      <c r="AL672" s="2">
        <v>49.6</v>
      </c>
    </row>
    <row r="673" spans="37:38" x14ac:dyDescent="0.55000000000000004">
      <c r="AK673" s="2">
        <v>97</v>
      </c>
      <c r="AL673" s="2">
        <v>49.5</v>
      </c>
    </row>
    <row r="674" spans="37:38" x14ac:dyDescent="0.55000000000000004">
      <c r="AK674" s="2">
        <v>107</v>
      </c>
      <c r="AL674" s="2">
        <v>49.5</v>
      </c>
    </row>
    <row r="675" spans="37:38" x14ac:dyDescent="0.55000000000000004">
      <c r="AK675" s="2">
        <v>135</v>
      </c>
      <c r="AL675" s="2">
        <v>49.3</v>
      </c>
    </row>
    <row r="676" spans="37:38" x14ac:dyDescent="0.55000000000000004">
      <c r="AK676" s="2">
        <v>126</v>
      </c>
      <c r="AL676" s="2">
        <v>49.1</v>
      </c>
    </row>
    <row r="677" spans="37:38" x14ac:dyDescent="0.55000000000000004">
      <c r="AK677" s="2">
        <v>98</v>
      </c>
      <c r="AL677" s="2">
        <v>49</v>
      </c>
    </row>
    <row r="678" spans="37:38" x14ac:dyDescent="0.55000000000000004">
      <c r="AK678" s="2">
        <v>138</v>
      </c>
      <c r="AL678" s="2">
        <v>49</v>
      </c>
    </row>
    <row r="679" spans="37:38" x14ac:dyDescent="0.55000000000000004">
      <c r="AK679" s="2">
        <v>117</v>
      </c>
      <c r="AL679" s="2">
        <v>48.8</v>
      </c>
    </row>
    <row r="680" spans="37:38" x14ac:dyDescent="0.55000000000000004">
      <c r="AK680" s="2">
        <v>124</v>
      </c>
      <c r="AL680" s="2">
        <v>48.8</v>
      </c>
    </row>
    <row r="681" spans="37:38" x14ac:dyDescent="0.55000000000000004">
      <c r="AK681" s="2">
        <v>129</v>
      </c>
      <c r="AL681" s="2">
        <v>48.8</v>
      </c>
    </row>
    <row r="682" spans="37:38" x14ac:dyDescent="0.55000000000000004">
      <c r="AK682" s="2">
        <v>114</v>
      </c>
      <c r="AL682" s="2">
        <v>48.7</v>
      </c>
    </row>
    <row r="683" spans="37:38" x14ac:dyDescent="0.55000000000000004">
      <c r="AK683" s="2">
        <v>113</v>
      </c>
      <c r="AL683" s="2">
        <v>48.4</v>
      </c>
    </row>
    <row r="684" spans="37:38" x14ac:dyDescent="0.55000000000000004">
      <c r="AK684" s="2">
        <v>133</v>
      </c>
      <c r="AL684" s="2">
        <v>48.2</v>
      </c>
    </row>
    <row r="685" spans="37:38" x14ac:dyDescent="0.55000000000000004">
      <c r="AK685" s="2">
        <v>141</v>
      </c>
      <c r="AL685" s="2">
        <v>47.9</v>
      </c>
    </row>
    <row r="686" spans="37:38" x14ac:dyDescent="0.55000000000000004">
      <c r="AK686" s="2">
        <v>114</v>
      </c>
      <c r="AL686" s="2">
        <v>47.7</v>
      </c>
    </row>
    <row r="687" spans="37:38" x14ac:dyDescent="0.55000000000000004">
      <c r="AK687" s="2">
        <v>110</v>
      </c>
      <c r="AL687" s="2">
        <v>47.7</v>
      </c>
    </row>
    <row r="688" spans="37:38" x14ac:dyDescent="0.55000000000000004">
      <c r="AK688" s="2">
        <v>121</v>
      </c>
      <c r="AL688" s="2">
        <v>47.6</v>
      </c>
    </row>
    <row r="689" spans="37:38" x14ac:dyDescent="0.55000000000000004">
      <c r="AK689" s="2">
        <v>121</v>
      </c>
      <c r="AL689" s="2">
        <v>47.5</v>
      </c>
    </row>
    <row r="690" spans="37:38" x14ac:dyDescent="0.55000000000000004">
      <c r="AK690" s="2">
        <v>106</v>
      </c>
      <c r="AL690" s="2">
        <v>47.4</v>
      </c>
    </row>
    <row r="691" spans="37:38" x14ac:dyDescent="0.55000000000000004">
      <c r="AK691" s="2">
        <v>122</v>
      </c>
      <c r="AL691" s="2">
        <v>47.3</v>
      </c>
    </row>
    <row r="692" spans="37:38" x14ac:dyDescent="0.55000000000000004">
      <c r="AK692" s="2">
        <v>120</v>
      </c>
      <c r="AL692" s="2">
        <v>47.3</v>
      </c>
    </row>
    <row r="693" spans="37:38" x14ac:dyDescent="0.55000000000000004">
      <c r="AK693" s="2">
        <v>123</v>
      </c>
      <c r="AL693" s="2">
        <v>47.1</v>
      </c>
    </row>
    <row r="694" spans="37:38" x14ac:dyDescent="0.55000000000000004">
      <c r="AK694" s="2">
        <v>116</v>
      </c>
      <c r="AL694" s="2">
        <v>47.1</v>
      </c>
    </row>
    <row r="695" spans="37:38" x14ac:dyDescent="0.55000000000000004">
      <c r="AK695" s="2">
        <v>107</v>
      </c>
      <c r="AL695" s="2">
        <v>46.9</v>
      </c>
    </row>
    <row r="696" spans="37:38" x14ac:dyDescent="0.55000000000000004">
      <c r="AK696" s="2">
        <v>158</v>
      </c>
      <c r="AL696" s="2">
        <v>46.8</v>
      </c>
    </row>
    <row r="697" spans="37:38" x14ac:dyDescent="0.55000000000000004">
      <c r="AK697" s="2">
        <v>144</v>
      </c>
      <c r="AL697" s="2">
        <v>46.8</v>
      </c>
    </row>
    <row r="698" spans="37:38" x14ac:dyDescent="0.55000000000000004">
      <c r="AK698" s="2">
        <v>135</v>
      </c>
      <c r="AL698" s="2">
        <v>46.6</v>
      </c>
    </row>
    <row r="699" spans="37:38" x14ac:dyDescent="0.55000000000000004">
      <c r="AK699" s="2">
        <v>130</v>
      </c>
      <c r="AL699" s="2">
        <v>46.3</v>
      </c>
    </row>
    <row r="700" spans="37:38" x14ac:dyDescent="0.55000000000000004">
      <c r="AK700" s="2">
        <v>92</v>
      </c>
      <c r="AL700" s="2">
        <v>45.9</v>
      </c>
    </row>
    <row r="701" spans="37:38" x14ac:dyDescent="0.55000000000000004">
      <c r="AK701" s="2">
        <v>133</v>
      </c>
      <c r="AL701" s="2">
        <v>45.7</v>
      </c>
    </row>
    <row r="702" spans="37:38" x14ac:dyDescent="0.55000000000000004">
      <c r="AK702" s="2">
        <v>130</v>
      </c>
      <c r="AL702" s="2">
        <v>45.5</v>
      </c>
    </row>
    <row r="703" spans="37:38" x14ac:dyDescent="0.55000000000000004">
      <c r="AK703" s="2">
        <v>142</v>
      </c>
      <c r="AL703" s="2">
        <v>45.5</v>
      </c>
    </row>
    <row r="704" spans="37:38" x14ac:dyDescent="0.55000000000000004">
      <c r="AK704" s="2">
        <v>137</v>
      </c>
      <c r="AL704" s="2">
        <v>45.2</v>
      </c>
    </row>
    <row r="705" spans="37:38" x14ac:dyDescent="0.55000000000000004">
      <c r="AK705" s="2">
        <v>123</v>
      </c>
      <c r="AL705" s="2">
        <v>45.2</v>
      </c>
    </row>
    <row r="706" spans="37:38" x14ac:dyDescent="0.55000000000000004">
      <c r="AK706" s="2">
        <v>105</v>
      </c>
      <c r="AL706" s="2">
        <v>45.1</v>
      </c>
    </row>
    <row r="707" spans="37:38" x14ac:dyDescent="0.55000000000000004">
      <c r="AK707" s="2">
        <v>122</v>
      </c>
      <c r="AL707" s="2">
        <v>44.8</v>
      </c>
    </row>
    <row r="708" spans="37:38" x14ac:dyDescent="0.55000000000000004">
      <c r="AK708" s="2">
        <v>122</v>
      </c>
      <c r="AL708" s="2">
        <v>44.8</v>
      </c>
    </row>
    <row r="709" spans="37:38" x14ac:dyDescent="0.55000000000000004">
      <c r="AK709" s="2">
        <v>113</v>
      </c>
      <c r="AL709" s="2">
        <v>44.7</v>
      </c>
    </row>
    <row r="710" spans="37:38" x14ac:dyDescent="0.55000000000000004">
      <c r="AK710" s="2">
        <v>145</v>
      </c>
      <c r="AL710" s="2">
        <v>44.7</v>
      </c>
    </row>
    <row r="711" spans="37:38" x14ac:dyDescent="0.55000000000000004">
      <c r="AK711" s="2">
        <v>90</v>
      </c>
      <c r="AL711" s="2">
        <v>44.7</v>
      </c>
    </row>
    <row r="712" spans="37:38" x14ac:dyDescent="0.55000000000000004">
      <c r="AK712" s="2">
        <v>133</v>
      </c>
      <c r="AL712" s="2">
        <v>44.5</v>
      </c>
    </row>
    <row r="713" spans="37:38" x14ac:dyDescent="0.55000000000000004">
      <c r="AK713" s="2">
        <v>136</v>
      </c>
      <c r="AL713" s="2">
        <v>44.3</v>
      </c>
    </row>
    <row r="714" spans="37:38" x14ac:dyDescent="0.55000000000000004">
      <c r="AK714" s="2">
        <v>138</v>
      </c>
      <c r="AL714" s="2">
        <v>44.3</v>
      </c>
    </row>
    <row r="715" spans="37:38" x14ac:dyDescent="0.55000000000000004">
      <c r="AK715" s="2">
        <v>98</v>
      </c>
      <c r="AL715" s="2">
        <v>44.2</v>
      </c>
    </row>
    <row r="716" spans="37:38" x14ac:dyDescent="0.55000000000000004">
      <c r="AK716" s="2">
        <v>108</v>
      </c>
      <c r="AL716" s="2">
        <v>44.2</v>
      </c>
    </row>
    <row r="717" spans="37:38" x14ac:dyDescent="0.55000000000000004">
      <c r="AK717" s="2">
        <v>110</v>
      </c>
      <c r="AL717" s="2">
        <v>44.1</v>
      </c>
    </row>
    <row r="718" spans="37:38" x14ac:dyDescent="0.55000000000000004">
      <c r="AK718" s="2">
        <v>88</v>
      </c>
      <c r="AL718" s="2">
        <v>43.7</v>
      </c>
    </row>
    <row r="719" spans="37:38" x14ac:dyDescent="0.55000000000000004">
      <c r="AK719" s="2">
        <v>113</v>
      </c>
      <c r="AL719" s="2">
        <v>43.7</v>
      </c>
    </row>
    <row r="720" spans="37:38" x14ac:dyDescent="0.55000000000000004">
      <c r="AK720" s="2">
        <v>131</v>
      </c>
      <c r="AL720" s="2">
        <v>43.5</v>
      </c>
    </row>
    <row r="721" spans="37:38" x14ac:dyDescent="0.55000000000000004">
      <c r="AK721" s="2">
        <v>111</v>
      </c>
      <c r="AL721" s="2">
        <v>43</v>
      </c>
    </row>
    <row r="722" spans="37:38" x14ac:dyDescent="0.55000000000000004">
      <c r="AK722" s="2">
        <v>120</v>
      </c>
      <c r="AL722" s="2">
        <v>42.8</v>
      </c>
    </row>
    <row r="723" spans="37:38" x14ac:dyDescent="0.55000000000000004">
      <c r="AK723" s="2">
        <v>111</v>
      </c>
      <c r="AL723" s="2">
        <v>42.7</v>
      </c>
    </row>
    <row r="724" spans="37:38" x14ac:dyDescent="0.55000000000000004">
      <c r="AK724" s="2">
        <v>143</v>
      </c>
      <c r="AL724" s="2">
        <v>42.6</v>
      </c>
    </row>
    <row r="725" spans="37:38" x14ac:dyDescent="0.55000000000000004">
      <c r="AK725" s="2">
        <v>120</v>
      </c>
      <c r="AL725" s="2">
        <v>42.5</v>
      </c>
    </row>
    <row r="726" spans="37:38" x14ac:dyDescent="0.55000000000000004">
      <c r="AK726" s="2">
        <v>96</v>
      </c>
      <c r="AL726" s="2">
        <v>41.9</v>
      </c>
    </row>
    <row r="727" spans="37:38" x14ac:dyDescent="0.55000000000000004">
      <c r="AK727" s="2">
        <v>122</v>
      </c>
      <c r="AL727" s="2">
        <v>41.7</v>
      </c>
    </row>
    <row r="728" spans="37:38" x14ac:dyDescent="0.55000000000000004">
      <c r="AK728" s="2">
        <v>123</v>
      </c>
      <c r="AL728" s="2">
        <v>41.5</v>
      </c>
    </row>
    <row r="729" spans="37:38" x14ac:dyDescent="0.55000000000000004">
      <c r="AK729" s="2">
        <v>117</v>
      </c>
      <c r="AL729" s="2">
        <v>40.9</v>
      </c>
    </row>
    <row r="730" spans="37:38" x14ac:dyDescent="0.55000000000000004">
      <c r="AK730" s="2">
        <v>144</v>
      </c>
      <c r="AL730" s="2">
        <v>40.700000000000003</v>
      </c>
    </row>
    <row r="731" spans="37:38" x14ac:dyDescent="0.55000000000000004">
      <c r="AK731" s="2">
        <v>98</v>
      </c>
      <c r="AL731" s="2">
        <v>40.5</v>
      </c>
    </row>
    <row r="732" spans="37:38" x14ac:dyDescent="0.55000000000000004">
      <c r="AK732" s="2">
        <v>135</v>
      </c>
      <c r="AL732" s="2">
        <v>39.9</v>
      </c>
    </row>
    <row r="733" spans="37:38" x14ac:dyDescent="0.55000000000000004">
      <c r="AK733" s="2">
        <v>121</v>
      </c>
      <c r="AL733" s="2">
        <v>39.700000000000003</v>
      </c>
    </row>
    <row r="734" spans="37:38" x14ac:dyDescent="0.55000000000000004">
      <c r="AK734" s="2">
        <v>122</v>
      </c>
      <c r="AL734" s="2">
        <v>39.6</v>
      </c>
    </row>
    <row r="735" spans="37:38" x14ac:dyDescent="0.55000000000000004">
      <c r="AK735" s="2">
        <v>83</v>
      </c>
      <c r="AL735" s="2">
        <v>39.1</v>
      </c>
    </row>
    <row r="736" spans="37:38" x14ac:dyDescent="0.55000000000000004">
      <c r="AK736" s="2">
        <v>97</v>
      </c>
      <c r="AL736" s="2">
        <v>39.1</v>
      </c>
    </row>
    <row r="737" spans="37:38" x14ac:dyDescent="0.55000000000000004">
      <c r="AK737" s="2">
        <v>124</v>
      </c>
      <c r="AL737" s="2">
        <v>38.700000000000003</v>
      </c>
    </row>
    <row r="738" spans="37:38" x14ac:dyDescent="0.55000000000000004">
      <c r="AK738" s="2">
        <v>116</v>
      </c>
      <c r="AL738" s="2">
        <v>38.1</v>
      </c>
    </row>
    <row r="739" spans="37:38" x14ac:dyDescent="0.55000000000000004">
      <c r="AK739" s="2">
        <v>129</v>
      </c>
      <c r="AL739" s="2">
        <v>38</v>
      </c>
    </row>
    <row r="740" spans="37:38" x14ac:dyDescent="0.55000000000000004">
      <c r="AK740" s="2">
        <v>127</v>
      </c>
      <c r="AL740" s="2">
        <v>37.9</v>
      </c>
    </row>
    <row r="741" spans="37:38" x14ac:dyDescent="0.55000000000000004">
      <c r="AK741" s="2">
        <v>141</v>
      </c>
      <c r="AL741" s="2">
        <v>37.700000000000003</v>
      </c>
    </row>
    <row r="742" spans="37:38" x14ac:dyDescent="0.55000000000000004">
      <c r="AK742" s="2">
        <v>97</v>
      </c>
      <c r="AL742" s="2">
        <v>37.5</v>
      </c>
    </row>
    <row r="743" spans="37:38" x14ac:dyDescent="0.55000000000000004">
      <c r="AK743" s="2">
        <v>109</v>
      </c>
      <c r="AL743" s="2">
        <v>37.4</v>
      </c>
    </row>
    <row r="744" spans="37:38" x14ac:dyDescent="0.55000000000000004">
      <c r="AK744" s="2">
        <v>121</v>
      </c>
      <c r="AL744" s="2">
        <v>37.299999999999997</v>
      </c>
    </row>
    <row r="745" spans="37:38" x14ac:dyDescent="0.55000000000000004">
      <c r="AK745" s="2">
        <v>116</v>
      </c>
      <c r="AL745" s="2">
        <v>37.299999999999997</v>
      </c>
    </row>
    <row r="746" spans="37:38" x14ac:dyDescent="0.55000000000000004">
      <c r="AK746" s="2">
        <v>115</v>
      </c>
      <c r="AL746" s="2">
        <v>37.299999999999997</v>
      </c>
    </row>
    <row r="747" spans="37:38" x14ac:dyDescent="0.55000000000000004">
      <c r="AK747" s="2">
        <v>131</v>
      </c>
      <c r="AL747" s="2">
        <v>36.1</v>
      </c>
    </row>
    <row r="748" spans="37:38" x14ac:dyDescent="0.55000000000000004">
      <c r="AK748" s="2">
        <v>100</v>
      </c>
      <c r="AL748" s="2">
        <v>35.9</v>
      </c>
    </row>
    <row r="749" spans="37:38" x14ac:dyDescent="0.55000000000000004">
      <c r="AK749" s="2">
        <v>128</v>
      </c>
      <c r="AL749" s="2">
        <v>35.9</v>
      </c>
    </row>
    <row r="750" spans="37:38" x14ac:dyDescent="0.55000000000000004">
      <c r="AK750" s="2">
        <v>118</v>
      </c>
      <c r="AL750" s="2">
        <v>35.799999999999997</v>
      </c>
    </row>
    <row r="751" spans="37:38" x14ac:dyDescent="0.55000000000000004">
      <c r="AK751" s="2">
        <v>115</v>
      </c>
      <c r="AL751" s="2">
        <v>35.6</v>
      </c>
    </row>
    <row r="752" spans="37:38" x14ac:dyDescent="0.55000000000000004">
      <c r="AK752" s="2">
        <v>155</v>
      </c>
      <c r="AL752" s="2">
        <v>35.5</v>
      </c>
    </row>
    <row r="753" spans="37:38" x14ac:dyDescent="0.55000000000000004">
      <c r="AK753" s="2">
        <v>105</v>
      </c>
      <c r="AL753" s="2">
        <v>35.200000000000003</v>
      </c>
    </row>
    <row r="754" spans="37:38" x14ac:dyDescent="0.55000000000000004">
      <c r="AK754" s="2">
        <v>105</v>
      </c>
      <c r="AL754" s="2">
        <v>35.200000000000003</v>
      </c>
    </row>
    <row r="755" spans="37:38" x14ac:dyDescent="0.55000000000000004">
      <c r="AK755" s="2">
        <v>94</v>
      </c>
      <c r="AL755" s="2">
        <v>35</v>
      </c>
    </row>
    <row r="756" spans="37:38" x14ac:dyDescent="0.55000000000000004">
      <c r="AK756" s="2">
        <v>98</v>
      </c>
      <c r="AL756" s="2">
        <v>34.6</v>
      </c>
    </row>
    <row r="757" spans="37:38" x14ac:dyDescent="0.55000000000000004">
      <c r="AK757" s="2">
        <v>114</v>
      </c>
      <c r="AL757" s="2">
        <v>34.4</v>
      </c>
    </row>
    <row r="758" spans="37:38" x14ac:dyDescent="0.55000000000000004">
      <c r="AK758" s="2">
        <v>141</v>
      </c>
      <c r="AL758" s="2">
        <v>34.200000000000003</v>
      </c>
    </row>
    <row r="759" spans="37:38" x14ac:dyDescent="0.55000000000000004">
      <c r="AK759" s="2">
        <v>139</v>
      </c>
      <c r="AL759" s="2">
        <v>33.6</v>
      </c>
    </row>
    <row r="760" spans="37:38" x14ac:dyDescent="0.55000000000000004">
      <c r="AK760" s="2">
        <v>113</v>
      </c>
      <c r="AL760" s="2">
        <v>32.5</v>
      </c>
    </row>
    <row r="761" spans="37:38" x14ac:dyDescent="0.55000000000000004">
      <c r="AK761" s="2">
        <v>99</v>
      </c>
      <c r="AL761" s="2">
        <v>32.5</v>
      </c>
    </row>
    <row r="762" spans="37:38" x14ac:dyDescent="0.55000000000000004">
      <c r="AK762" s="2">
        <v>120</v>
      </c>
      <c r="AL762" s="2">
        <v>32.4</v>
      </c>
    </row>
    <row r="763" spans="37:38" x14ac:dyDescent="0.55000000000000004">
      <c r="AK763" s="2">
        <v>144</v>
      </c>
      <c r="AL763" s="2">
        <v>32.4</v>
      </c>
    </row>
    <row r="764" spans="37:38" x14ac:dyDescent="0.55000000000000004">
      <c r="AK764" s="2">
        <v>97</v>
      </c>
      <c r="AL764" s="2">
        <v>31.6</v>
      </c>
    </row>
    <row r="765" spans="37:38" x14ac:dyDescent="0.55000000000000004">
      <c r="AK765" s="2">
        <v>121</v>
      </c>
      <c r="AL765" s="2">
        <v>31.5</v>
      </c>
    </row>
    <row r="766" spans="37:38" x14ac:dyDescent="0.55000000000000004">
      <c r="AK766" s="2">
        <v>101</v>
      </c>
      <c r="AL766" s="2">
        <v>31.4</v>
      </c>
    </row>
    <row r="767" spans="37:38" x14ac:dyDescent="0.55000000000000004">
      <c r="AK767" s="2">
        <v>129</v>
      </c>
      <c r="AL767" s="2">
        <v>31.1</v>
      </c>
    </row>
    <row r="768" spans="37:38" x14ac:dyDescent="0.55000000000000004">
      <c r="AK768" s="2">
        <v>139</v>
      </c>
      <c r="AL768" s="2">
        <v>31.1</v>
      </c>
    </row>
    <row r="769" spans="37:38" x14ac:dyDescent="0.55000000000000004">
      <c r="AK769" s="2">
        <v>114</v>
      </c>
      <c r="AL769" s="2">
        <v>30.7</v>
      </c>
    </row>
    <row r="770" spans="37:38" x14ac:dyDescent="0.55000000000000004">
      <c r="AK770" s="2">
        <v>130</v>
      </c>
      <c r="AL770" s="2">
        <v>30.5</v>
      </c>
    </row>
    <row r="771" spans="37:38" x14ac:dyDescent="0.55000000000000004">
      <c r="AK771" s="2">
        <v>126</v>
      </c>
      <c r="AL771" s="2">
        <v>29.1</v>
      </c>
    </row>
    <row r="772" spans="37:38" x14ac:dyDescent="0.55000000000000004">
      <c r="AK772" s="2">
        <v>143</v>
      </c>
      <c r="AL772" s="2">
        <v>28.6</v>
      </c>
    </row>
    <row r="773" spans="37:38" x14ac:dyDescent="0.55000000000000004">
      <c r="AK773" s="2">
        <v>125</v>
      </c>
      <c r="AL773" s="2">
        <v>28.1</v>
      </c>
    </row>
    <row r="774" spans="37:38" x14ac:dyDescent="0.55000000000000004">
      <c r="AK774" s="2">
        <v>117</v>
      </c>
      <c r="AL774" s="2">
        <v>28</v>
      </c>
    </row>
    <row r="775" spans="37:38" x14ac:dyDescent="0.55000000000000004">
      <c r="AK775" s="2">
        <v>94</v>
      </c>
      <c r="AL775" s="2">
        <v>27.9</v>
      </c>
    </row>
    <row r="776" spans="37:38" x14ac:dyDescent="0.55000000000000004">
      <c r="AK776" s="2">
        <v>98</v>
      </c>
      <c r="AL776" s="2">
        <v>27.8</v>
      </c>
    </row>
    <row r="777" spans="37:38" x14ac:dyDescent="0.55000000000000004">
      <c r="AK777" s="2">
        <v>117</v>
      </c>
      <c r="AL777" s="2">
        <v>27.1</v>
      </c>
    </row>
    <row r="778" spans="37:38" x14ac:dyDescent="0.55000000000000004">
      <c r="AK778" s="2">
        <v>122</v>
      </c>
      <c r="AL778" s="2">
        <v>27</v>
      </c>
    </row>
    <row r="779" spans="37:38" x14ac:dyDescent="0.55000000000000004">
      <c r="AK779" s="2">
        <v>118</v>
      </c>
      <c r="AL779" s="2">
        <v>26.8</v>
      </c>
    </row>
    <row r="780" spans="37:38" x14ac:dyDescent="0.55000000000000004">
      <c r="AK780" s="2">
        <v>128</v>
      </c>
      <c r="AL780" s="2">
        <v>24.7</v>
      </c>
    </row>
    <row r="781" spans="37:38" x14ac:dyDescent="0.55000000000000004">
      <c r="AK781" s="2">
        <v>116</v>
      </c>
      <c r="AL781" s="2">
        <v>24.5</v>
      </c>
    </row>
    <row r="782" spans="37:38" x14ac:dyDescent="0.55000000000000004">
      <c r="AK782" s="2">
        <v>106</v>
      </c>
      <c r="AL782" s="2">
        <v>24.4</v>
      </c>
    </row>
    <row r="783" spans="37:38" x14ac:dyDescent="0.55000000000000004">
      <c r="AK783" s="2">
        <v>107</v>
      </c>
      <c r="AL783" s="2">
        <v>24.2</v>
      </c>
    </row>
    <row r="784" spans="37:38" x14ac:dyDescent="0.55000000000000004">
      <c r="AK784" s="2">
        <v>121</v>
      </c>
      <c r="AL784" s="2">
        <v>23.8</v>
      </c>
    </row>
    <row r="785" spans="37:38" x14ac:dyDescent="0.55000000000000004">
      <c r="AK785" s="2">
        <v>111</v>
      </c>
      <c r="AL785" s="2">
        <v>23.5</v>
      </c>
    </row>
    <row r="786" spans="37:38" x14ac:dyDescent="0.55000000000000004">
      <c r="AK786" s="2">
        <v>101</v>
      </c>
      <c r="AL786" s="2">
        <v>23.4</v>
      </c>
    </row>
    <row r="787" spans="37:38" x14ac:dyDescent="0.55000000000000004">
      <c r="AK787" s="2">
        <v>124</v>
      </c>
      <c r="AL787" s="2">
        <v>23.3</v>
      </c>
    </row>
    <row r="788" spans="37:38" x14ac:dyDescent="0.55000000000000004">
      <c r="AK788" s="2">
        <v>118</v>
      </c>
      <c r="AL788" s="2">
        <v>20.9</v>
      </c>
    </row>
    <row r="789" spans="37:38" x14ac:dyDescent="0.55000000000000004">
      <c r="AK789" s="2">
        <v>97</v>
      </c>
      <c r="AL789" s="2">
        <v>20.8</v>
      </c>
    </row>
    <row r="790" spans="37:38" x14ac:dyDescent="0.55000000000000004">
      <c r="AK790" s="2">
        <v>113</v>
      </c>
      <c r="AL790" s="2">
        <v>20.6</v>
      </c>
    </row>
    <row r="791" spans="37:38" x14ac:dyDescent="0.55000000000000004">
      <c r="AK791" s="2">
        <v>111</v>
      </c>
      <c r="AL791" s="2">
        <v>19.5</v>
      </c>
    </row>
    <row r="792" spans="37:38" x14ac:dyDescent="0.55000000000000004">
      <c r="AK792" s="2">
        <v>120</v>
      </c>
      <c r="AL792" s="2">
        <v>19.2</v>
      </c>
    </row>
    <row r="793" spans="37:38" x14ac:dyDescent="0.55000000000000004">
      <c r="AK793" s="2">
        <v>123</v>
      </c>
      <c r="AL793" s="2">
        <v>19.100000000000001</v>
      </c>
    </row>
    <row r="794" spans="37:38" x14ac:dyDescent="0.55000000000000004">
      <c r="AK794" s="2">
        <v>108</v>
      </c>
      <c r="AL794" s="2">
        <v>16.7</v>
      </c>
    </row>
    <row r="795" spans="37:38" x14ac:dyDescent="0.55000000000000004">
      <c r="AK795" s="2">
        <v>78</v>
      </c>
      <c r="AL795" s="2">
        <v>16.100000000000001</v>
      </c>
    </row>
    <row r="796" spans="37:38" x14ac:dyDescent="0.55000000000000004">
      <c r="AK796" s="2">
        <v>116</v>
      </c>
      <c r="AL796" s="2">
        <v>16</v>
      </c>
    </row>
    <row r="797" spans="37:38" x14ac:dyDescent="0.55000000000000004">
      <c r="AK797" s="2">
        <v>120</v>
      </c>
      <c r="AL797" s="2">
        <v>15.1</v>
      </c>
    </row>
    <row r="798" spans="37:38" x14ac:dyDescent="0.55000000000000004">
      <c r="AK798" s="2">
        <v>123</v>
      </c>
      <c r="AL798" s="2">
        <v>15</v>
      </c>
    </row>
    <row r="799" spans="37:38" x14ac:dyDescent="0.55000000000000004">
      <c r="AK799" s="2">
        <v>118</v>
      </c>
      <c r="AL799" s="2">
        <v>12.8</v>
      </c>
    </row>
    <row r="800" spans="37:38" x14ac:dyDescent="0.55000000000000004">
      <c r="AK800" s="2">
        <v>108</v>
      </c>
      <c r="AL800" s="2">
        <v>12.3</v>
      </c>
    </row>
    <row r="801" spans="37:38" x14ac:dyDescent="0.55000000000000004">
      <c r="AK801" s="2">
        <v>119</v>
      </c>
      <c r="AL801" s="2">
        <v>11</v>
      </c>
    </row>
    <row r="802" spans="37:38" x14ac:dyDescent="0.55000000000000004">
      <c r="AK802" s="2">
        <v>88</v>
      </c>
      <c r="AL802" s="2">
        <v>9.8000000000000007</v>
      </c>
    </row>
    <row r="803" spans="37:38" x14ac:dyDescent="0.55000000000000004">
      <c r="AK803" s="2">
        <v>104</v>
      </c>
      <c r="AL803" s="2">
        <v>9.8000000000000007</v>
      </c>
    </row>
    <row r="804" spans="37:38" x14ac:dyDescent="0.55000000000000004">
      <c r="AK804" s="2">
        <v>110</v>
      </c>
      <c r="AL804" s="2">
        <v>9.6</v>
      </c>
    </row>
    <row r="805" spans="37:38" x14ac:dyDescent="0.55000000000000004">
      <c r="AK805" s="2">
        <v>88</v>
      </c>
      <c r="AL805" s="2">
        <v>6.9</v>
      </c>
    </row>
  </sheetData>
  <printOptions gridLines="1"/>
  <pageMargins left="0.75" right="0.75" top="1" bottom="1" header="0" footer="0"/>
  <pageSetup paperSize="9" orientation="portrait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56"/>
  <sheetViews>
    <sheetView workbookViewId="0"/>
  </sheetViews>
  <sheetFormatPr defaultColWidth="8.83203125" defaultRowHeight="14.4" x14ac:dyDescent="0.55000000000000004"/>
  <cols>
    <col min="1" max="4" width="6.27734375" style="2" bestFit="1" customWidth="1"/>
    <col min="5" max="8" width="11.71875" style="2" bestFit="1" customWidth="1"/>
    <col min="9" max="9" width="10.27734375" style="2" bestFit="1" customWidth="1"/>
    <col min="10" max="17" width="9.27734375" style="2" bestFit="1" customWidth="1"/>
    <col min="18" max="18" width="6.5546875" style="2" bestFit="1" customWidth="1"/>
    <col min="19" max="19" width="9.44140625" style="2" bestFit="1" customWidth="1"/>
    <col min="20" max="20" width="6.5546875" style="2" bestFit="1" customWidth="1"/>
    <col min="21" max="25" width="9.44140625" style="2" bestFit="1" customWidth="1"/>
    <col min="26" max="29" width="7.1640625" style="2" bestFit="1" customWidth="1"/>
    <col min="30" max="30" width="12.71875" style="2" bestFit="1" customWidth="1"/>
    <col min="31" max="31" width="6.71875" style="2" bestFit="1" customWidth="1"/>
    <col min="32" max="32" width="8.27734375" style="2" bestFit="1" customWidth="1"/>
    <col min="33" max="33" width="6.1640625" style="2" bestFit="1" customWidth="1"/>
    <col min="34" max="45" width="5" style="2" bestFit="1" customWidth="1"/>
    <col min="46" max="50" width="12.27734375" style="1" bestFit="1" customWidth="1"/>
    <col min="51" max="53" width="6" style="1" bestFit="1" customWidth="1"/>
    <col min="54" max="54" width="5.71875" style="1" bestFit="1" customWidth="1"/>
    <col min="55" max="56" width="6.71875" style="1" bestFit="1" customWidth="1"/>
    <col min="57" max="57" width="7.71875" style="1" bestFit="1" customWidth="1"/>
    <col min="58" max="58" width="9.5546875" style="1" bestFit="1" customWidth="1"/>
    <col min="59" max="59" width="11.44140625" style="2" bestFit="1" customWidth="1"/>
    <col min="60" max="62" width="11.44140625" style="1" bestFit="1" customWidth="1"/>
    <col min="63" max="16384" width="8.83203125" style="2"/>
  </cols>
  <sheetData>
    <row r="1" spans="1:62" x14ac:dyDescent="0.55000000000000004">
      <c r="A1" s="1" t="s">
        <v>379</v>
      </c>
      <c r="B1" s="1" t="s">
        <v>251</v>
      </c>
      <c r="C1" s="1" t="s">
        <v>442</v>
      </c>
      <c r="D1" s="1" t="s">
        <v>330</v>
      </c>
      <c r="E1" s="1" t="s">
        <v>61</v>
      </c>
      <c r="F1" s="1" t="s">
        <v>483</v>
      </c>
      <c r="G1" s="1" t="s">
        <v>365</v>
      </c>
      <c r="H1" s="1" t="s">
        <v>233</v>
      </c>
      <c r="I1" s="1" t="s">
        <v>488</v>
      </c>
      <c r="J1" s="1" t="s">
        <v>119</v>
      </c>
      <c r="K1" s="1" t="s">
        <v>334</v>
      </c>
      <c r="L1" s="1" t="s">
        <v>239</v>
      </c>
      <c r="M1" s="1" t="s">
        <v>434</v>
      </c>
      <c r="N1" s="1" t="s">
        <v>76</v>
      </c>
      <c r="O1" s="1" t="s">
        <v>9</v>
      </c>
      <c r="P1" s="1" t="s">
        <v>176</v>
      </c>
      <c r="Q1" s="1" t="s">
        <v>386</v>
      </c>
      <c r="R1" s="1" t="s">
        <v>276</v>
      </c>
      <c r="S1" s="1" t="s">
        <v>142</v>
      </c>
      <c r="T1" s="1" t="s">
        <v>147</v>
      </c>
      <c r="U1" s="1" t="s">
        <v>37</v>
      </c>
      <c r="V1" s="1" t="s">
        <v>237</v>
      </c>
      <c r="W1" s="1" t="s">
        <v>106</v>
      </c>
      <c r="X1" s="1" t="s">
        <v>316</v>
      </c>
      <c r="Y1" s="1" t="s">
        <v>177</v>
      </c>
      <c r="Z1" s="1" t="s">
        <v>132</v>
      </c>
      <c r="AA1" s="1" t="s">
        <v>343</v>
      </c>
      <c r="AB1" s="1" t="s">
        <v>202</v>
      </c>
      <c r="AC1" s="1" t="s">
        <v>83</v>
      </c>
      <c r="AD1" s="1" t="s">
        <v>409</v>
      </c>
      <c r="AE1" s="1" t="s">
        <v>50</v>
      </c>
      <c r="AF1" s="1" t="s">
        <v>449</v>
      </c>
      <c r="AG1" s="1" t="s">
        <v>58</v>
      </c>
      <c r="AH1" s="1" t="s">
        <v>66</v>
      </c>
      <c r="AI1" s="1" t="s">
        <v>486</v>
      </c>
      <c r="AJ1" s="1" t="s">
        <v>123</v>
      </c>
      <c r="AK1" s="1" t="s">
        <v>155</v>
      </c>
      <c r="AL1" s="1" t="s">
        <v>51</v>
      </c>
      <c r="AM1" s="1" t="s">
        <v>466</v>
      </c>
      <c r="AN1" s="1" t="s">
        <v>491</v>
      </c>
      <c r="AO1" s="1" t="s">
        <v>377</v>
      </c>
      <c r="AP1" s="1" t="s">
        <v>28</v>
      </c>
      <c r="AQ1" s="1" t="s">
        <v>55</v>
      </c>
      <c r="AR1" s="1" t="s">
        <v>473</v>
      </c>
      <c r="AS1" s="1" t="s">
        <v>358</v>
      </c>
      <c r="AT1" s="1" t="s">
        <v>498</v>
      </c>
      <c r="AU1" s="1" t="s">
        <v>384</v>
      </c>
      <c r="AV1" s="1" t="s">
        <v>258</v>
      </c>
      <c r="AW1" s="1" t="s">
        <v>447</v>
      </c>
      <c r="AX1" s="1" t="s">
        <v>336</v>
      </c>
      <c r="AY1" s="1" t="s">
        <v>141</v>
      </c>
      <c r="AZ1" s="1" t="s">
        <v>293</v>
      </c>
      <c r="BA1" s="1" t="s">
        <v>48</v>
      </c>
      <c r="BB1" s="1" t="s">
        <v>305</v>
      </c>
      <c r="BC1" s="1" t="s">
        <v>331</v>
      </c>
      <c r="BD1" s="1" t="s">
        <v>405</v>
      </c>
      <c r="BE1" s="1" t="s">
        <v>152</v>
      </c>
      <c r="BF1" s="1" t="s">
        <v>102</v>
      </c>
      <c r="BG1" s="2" t="s">
        <v>204</v>
      </c>
      <c r="BH1" s="1" t="s">
        <v>86</v>
      </c>
      <c r="BI1" s="1" t="s">
        <v>282</v>
      </c>
      <c r="BJ1" s="1" t="s">
        <v>153</v>
      </c>
    </row>
    <row r="2" spans="1:62" x14ac:dyDescent="0.55000000000000004">
      <c r="A2" s="1">
        <v>279</v>
      </c>
      <c r="B2" s="1">
        <v>378</v>
      </c>
      <c r="C2" s="1">
        <v>172</v>
      </c>
      <c r="D2" s="1">
        <v>381</v>
      </c>
      <c r="E2" s="1">
        <v>8.4</v>
      </c>
      <c r="F2" s="1">
        <v>9.4</v>
      </c>
      <c r="G2" s="1">
        <v>9.8000000000000007</v>
      </c>
      <c r="H2" s="1">
        <v>12.2</v>
      </c>
      <c r="I2" s="1">
        <v>9.8000000000000007</v>
      </c>
      <c r="J2" s="1">
        <v>9.9</v>
      </c>
      <c r="K2" s="1">
        <v>11.3</v>
      </c>
      <c r="L2" s="1">
        <v>10.1</v>
      </c>
      <c r="M2" s="1">
        <v>9.5</v>
      </c>
      <c r="N2" s="1">
        <v>10.7</v>
      </c>
      <c r="O2" s="1">
        <v>9.8000000000000007</v>
      </c>
      <c r="P2" s="1">
        <v>10</v>
      </c>
      <c r="Q2" s="1">
        <v>10.7</v>
      </c>
      <c r="R2" s="1">
        <v>8</v>
      </c>
      <c r="S2" s="1">
        <v>5</v>
      </c>
      <c r="T2" s="1">
        <v>11</v>
      </c>
      <c r="U2" s="1">
        <v>12</v>
      </c>
      <c r="V2" s="1">
        <v>83</v>
      </c>
      <c r="W2" s="1">
        <v>91</v>
      </c>
      <c r="X2" s="1">
        <v>101</v>
      </c>
      <c r="Y2" s="1">
        <v>78</v>
      </c>
      <c r="Z2" s="1">
        <v>4</v>
      </c>
      <c r="AA2" s="1">
        <v>3</v>
      </c>
      <c r="AB2" s="1">
        <v>2</v>
      </c>
      <c r="AC2" s="1">
        <v>1</v>
      </c>
      <c r="AD2" s="1">
        <v>7.9</v>
      </c>
      <c r="AE2" s="2">
        <v>1</v>
      </c>
      <c r="AF2" s="2">
        <v>1</v>
      </c>
      <c r="AG2" s="2">
        <v>3</v>
      </c>
      <c r="AH2" s="1">
        <v>3.28</v>
      </c>
      <c r="AI2" s="1">
        <v>3.52</v>
      </c>
      <c r="AJ2" s="1">
        <v>2.88</v>
      </c>
      <c r="AK2" s="1">
        <v>2.46</v>
      </c>
      <c r="AL2" s="1">
        <v>1.87</v>
      </c>
      <c r="AM2" s="1">
        <v>2.19</v>
      </c>
      <c r="AN2" s="1">
        <v>2.77</v>
      </c>
      <c r="AO2" s="1">
        <v>3.74</v>
      </c>
      <c r="AP2" s="1">
        <v>2.5499999999999998</v>
      </c>
      <c r="AQ2" s="1">
        <v>3.78</v>
      </c>
      <c r="AR2" s="1">
        <v>4.07</v>
      </c>
      <c r="AS2" s="1">
        <v>3.31</v>
      </c>
      <c r="AT2" s="1">
        <v>196.30520000000001</v>
      </c>
      <c r="AU2" s="1">
        <v>196.30420000000001</v>
      </c>
      <c r="AV2" s="1">
        <v>196.13030000000001</v>
      </c>
      <c r="AW2" s="1">
        <v>196.27950000000001</v>
      </c>
      <c r="AX2" s="1">
        <v>196.21190000000001</v>
      </c>
      <c r="AY2" s="1">
        <v>10.39</v>
      </c>
      <c r="AZ2" s="1">
        <v>20.81</v>
      </c>
      <c r="BA2" s="1">
        <v>46.84</v>
      </c>
      <c r="BB2" s="1">
        <v>1.81</v>
      </c>
      <c r="BC2" s="1">
        <v>3.7</v>
      </c>
      <c r="BD2" s="1">
        <v>14.04</v>
      </c>
      <c r="BE2" s="1">
        <v>29.36</v>
      </c>
      <c r="BF2" s="1">
        <v>137.72</v>
      </c>
      <c r="BG2" s="2">
        <v>29</v>
      </c>
      <c r="BH2" s="1">
        <v>17</v>
      </c>
      <c r="BI2" s="1">
        <v>17</v>
      </c>
      <c r="BJ2" s="1">
        <v>18</v>
      </c>
    </row>
    <row r="3" spans="1:62" x14ac:dyDescent="0.55000000000000004">
      <c r="A3" s="1">
        <v>338</v>
      </c>
      <c r="B3" s="1">
        <v>275</v>
      </c>
      <c r="C3" s="1">
        <v>335</v>
      </c>
      <c r="D3" s="1">
        <v>346</v>
      </c>
      <c r="E3" s="1">
        <v>12.8</v>
      </c>
      <c r="F3" s="1">
        <v>15.2</v>
      </c>
      <c r="G3" s="1">
        <v>12.9</v>
      </c>
      <c r="H3" s="1">
        <v>14.4</v>
      </c>
      <c r="I3" s="1">
        <v>9.1999999999999993</v>
      </c>
      <c r="J3" s="1">
        <v>9.1</v>
      </c>
      <c r="K3" s="1">
        <v>10.3</v>
      </c>
      <c r="L3" s="1">
        <v>8.6</v>
      </c>
      <c r="M3" s="1">
        <v>9.1</v>
      </c>
      <c r="N3" s="1">
        <v>10.7</v>
      </c>
      <c r="O3" s="1">
        <v>9.1999999999999993</v>
      </c>
      <c r="P3" s="1">
        <v>9.4</v>
      </c>
      <c r="Q3" s="1">
        <v>10.199999999999999</v>
      </c>
      <c r="R3" s="1">
        <v>14</v>
      </c>
      <c r="S3" s="1">
        <v>10</v>
      </c>
      <c r="T3" s="1">
        <v>8</v>
      </c>
      <c r="U3" s="1">
        <v>6</v>
      </c>
      <c r="V3" s="1">
        <v>91</v>
      </c>
      <c r="W3" s="1">
        <v>90</v>
      </c>
      <c r="X3" s="1">
        <v>100</v>
      </c>
      <c r="Y3" s="1">
        <v>82</v>
      </c>
      <c r="Z3" s="1">
        <v>4</v>
      </c>
      <c r="AA3" s="1">
        <v>2</v>
      </c>
      <c r="AB3" s="1">
        <v>3</v>
      </c>
      <c r="AC3" s="1">
        <v>1</v>
      </c>
      <c r="AD3" s="1">
        <v>6.1</v>
      </c>
      <c r="AE3" s="2">
        <v>1</v>
      </c>
      <c r="AF3" s="2">
        <v>2</v>
      </c>
      <c r="AG3" s="2">
        <v>4</v>
      </c>
      <c r="AH3" s="1">
        <v>3.09</v>
      </c>
      <c r="AI3" s="1">
        <v>3.48</v>
      </c>
      <c r="AJ3" s="1">
        <v>2.8</v>
      </c>
      <c r="AK3" s="1">
        <v>2.44</v>
      </c>
      <c r="AL3" s="1">
        <v>1.92</v>
      </c>
      <c r="AM3" s="1">
        <v>2.19</v>
      </c>
      <c r="AN3" s="1">
        <v>2.66</v>
      </c>
      <c r="AO3" s="1">
        <v>3.44</v>
      </c>
      <c r="AP3" s="1">
        <v>2.5499999999999998</v>
      </c>
      <c r="AQ3" s="1">
        <v>3.87</v>
      </c>
      <c r="AR3" s="1">
        <v>4.12</v>
      </c>
      <c r="AS3" s="1">
        <v>3.31</v>
      </c>
      <c r="AT3" s="1">
        <v>196.124</v>
      </c>
      <c r="AU3" s="1">
        <v>196.38249999999999</v>
      </c>
      <c r="AV3" s="1">
        <v>196.20050000000001</v>
      </c>
      <c r="AW3" s="1">
        <v>196.1748</v>
      </c>
      <c r="AX3" s="1">
        <v>196.10509999999999</v>
      </c>
      <c r="AY3" s="1">
        <v>10.31</v>
      </c>
      <c r="AZ3" s="1">
        <v>20.059999999999999</v>
      </c>
      <c r="BA3" s="1">
        <v>44.84</v>
      </c>
      <c r="BB3" s="1">
        <v>1.74</v>
      </c>
      <c r="BC3" s="1">
        <v>3.57</v>
      </c>
      <c r="BD3" s="1">
        <v>13.28</v>
      </c>
      <c r="BE3" s="1">
        <v>27.66</v>
      </c>
      <c r="BF3" s="1">
        <v>128.30000000000001</v>
      </c>
      <c r="BG3" s="2">
        <v>28</v>
      </c>
      <c r="BH3" s="1">
        <v>25</v>
      </c>
      <c r="BI3" s="1">
        <v>16</v>
      </c>
      <c r="BJ3" s="1">
        <v>20</v>
      </c>
    </row>
    <row r="4" spans="1:62" x14ac:dyDescent="0.55000000000000004">
      <c r="A4" s="1">
        <v>334</v>
      </c>
      <c r="B4" s="1">
        <v>412</v>
      </c>
      <c r="C4" s="1">
        <v>335</v>
      </c>
      <c r="D4" s="1">
        <v>340</v>
      </c>
      <c r="E4" s="1">
        <v>9.6</v>
      </c>
      <c r="F4" s="1">
        <v>9.1</v>
      </c>
      <c r="G4" s="1">
        <v>11.2</v>
      </c>
      <c r="H4" s="1">
        <v>9.8000000000000007</v>
      </c>
      <c r="I4" s="1">
        <v>8.4</v>
      </c>
      <c r="J4" s="1">
        <v>8.6</v>
      </c>
      <c r="K4" s="1">
        <v>9.8000000000000007</v>
      </c>
      <c r="L4" s="1">
        <v>7.9</v>
      </c>
      <c r="M4" s="1">
        <v>8</v>
      </c>
      <c r="N4" s="1">
        <v>10.1</v>
      </c>
      <c r="O4" s="1">
        <v>8</v>
      </c>
      <c r="P4" s="1">
        <v>8</v>
      </c>
      <c r="Q4" s="1">
        <v>10.1</v>
      </c>
      <c r="R4" s="1">
        <v>8</v>
      </c>
      <c r="S4" s="1">
        <v>0</v>
      </c>
      <c r="T4" s="1">
        <v>9</v>
      </c>
      <c r="U4" s="1">
        <v>13</v>
      </c>
      <c r="V4" s="1">
        <v>94</v>
      </c>
      <c r="W4" s="1">
        <v>81</v>
      </c>
      <c r="X4" s="1">
        <v>91</v>
      </c>
      <c r="Y4" s="1">
        <v>81</v>
      </c>
      <c r="Z4" s="1">
        <v>3</v>
      </c>
      <c r="AA4" s="1">
        <v>1.5</v>
      </c>
      <c r="AB4" s="1">
        <v>1.5</v>
      </c>
      <c r="AC4" s="1">
        <v>4</v>
      </c>
      <c r="AD4" s="1">
        <v>7.5</v>
      </c>
      <c r="AE4" s="2">
        <v>1</v>
      </c>
      <c r="AF4" s="2">
        <v>3</v>
      </c>
      <c r="AG4" s="2">
        <v>1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>
        <v>196.18899999999999</v>
      </c>
      <c r="AU4" s="1">
        <v>196.1669</v>
      </c>
      <c r="AV4" s="1">
        <v>196.28890000000001</v>
      </c>
      <c r="AW4" s="1">
        <v>196.14940000000001</v>
      </c>
      <c r="AX4" s="1">
        <v>196.185</v>
      </c>
      <c r="AY4" s="1">
        <v>10.44</v>
      </c>
      <c r="AZ4" s="1">
        <v>20.81</v>
      </c>
      <c r="BA4" s="1">
        <v>46.82</v>
      </c>
      <c r="BB4" s="1">
        <v>1.79</v>
      </c>
      <c r="BC4" s="1">
        <v>3.6</v>
      </c>
      <c r="BD4" s="1">
        <v>13.26</v>
      </c>
      <c r="BE4" s="1">
        <v>27.72</v>
      </c>
      <c r="BF4" s="1">
        <v>135.9</v>
      </c>
      <c r="BG4" s="2">
        <v>23</v>
      </c>
      <c r="BH4" s="1">
        <v>24</v>
      </c>
      <c r="BI4" s="1">
        <v>21</v>
      </c>
      <c r="BJ4" s="1">
        <v>25</v>
      </c>
    </row>
    <row r="5" spans="1:62" x14ac:dyDescent="0.55000000000000004">
      <c r="A5" s="1">
        <v>198</v>
      </c>
      <c r="B5" s="1">
        <v>265</v>
      </c>
      <c r="C5" s="1">
        <v>282</v>
      </c>
      <c r="D5" s="1">
        <v>471</v>
      </c>
      <c r="E5" s="1">
        <v>9.8000000000000007</v>
      </c>
      <c r="F5" s="1">
        <v>8.8000000000000007</v>
      </c>
      <c r="G5" s="1">
        <v>9.9</v>
      </c>
      <c r="H5" s="1">
        <v>12</v>
      </c>
      <c r="I5" s="1"/>
      <c r="J5" s="1"/>
      <c r="K5" s="1"/>
      <c r="L5" s="1"/>
      <c r="M5" s="1"/>
      <c r="N5" s="1"/>
      <c r="O5" s="1"/>
      <c r="P5" s="1"/>
      <c r="Q5" s="1"/>
      <c r="R5" s="1">
        <v>9</v>
      </c>
      <c r="S5" s="1">
        <v>7</v>
      </c>
      <c r="T5" s="1">
        <v>8</v>
      </c>
      <c r="U5" s="1">
        <v>8</v>
      </c>
      <c r="V5" s="1">
        <v>89</v>
      </c>
      <c r="W5" s="1">
        <v>83</v>
      </c>
      <c r="X5" s="1">
        <v>93</v>
      </c>
      <c r="Y5" s="1">
        <v>77</v>
      </c>
      <c r="Z5" s="1">
        <v>3</v>
      </c>
      <c r="AA5" s="1">
        <v>1</v>
      </c>
      <c r="AB5" s="1">
        <v>2</v>
      </c>
      <c r="AC5" s="1">
        <v>4</v>
      </c>
      <c r="AD5" s="1">
        <v>6.9</v>
      </c>
      <c r="AE5" s="2">
        <v>1</v>
      </c>
      <c r="AF5" s="2">
        <v>4</v>
      </c>
      <c r="AG5" s="2">
        <v>6</v>
      </c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>
        <v>196.2569</v>
      </c>
      <c r="AU5" s="1">
        <v>196.32570000000001</v>
      </c>
      <c r="AV5" s="1">
        <v>196.0343</v>
      </c>
      <c r="AW5" s="1">
        <v>196.14850000000001</v>
      </c>
      <c r="AX5" s="1">
        <v>196.0052</v>
      </c>
      <c r="AY5" s="1">
        <v>10.34</v>
      </c>
      <c r="AZ5" s="1">
        <v>20.68</v>
      </c>
      <c r="BA5" s="1">
        <v>45.04</v>
      </c>
      <c r="BB5" s="1">
        <v>1.73</v>
      </c>
      <c r="BC5" s="1">
        <v>3.6</v>
      </c>
      <c r="BD5" s="1">
        <v>13.22</v>
      </c>
      <c r="BE5" s="1">
        <v>27.45</v>
      </c>
      <c r="BF5" s="1">
        <v>129.94999999999999</v>
      </c>
      <c r="BG5" s="2">
        <v>26</v>
      </c>
      <c r="BH5" s="1">
        <v>19</v>
      </c>
      <c r="BI5" s="1">
        <v>22</v>
      </c>
      <c r="BJ5" s="1">
        <v>24</v>
      </c>
    </row>
    <row r="6" spans="1:62" x14ac:dyDescent="0.55000000000000004">
      <c r="A6" s="1">
        <v>303</v>
      </c>
      <c r="B6" s="1">
        <v>286</v>
      </c>
      <c r="C6" s="1">
        <v>250</v>
      </c>
      <c r="D6" s="1">
        <v>318</v>
      </c>
      <c r="E6" s="1">
        <v>8.4</v>
      </c>
      <c r="F6" s="1">
        <v>8.1999999999999993</v>
      </c>
      <c r="G6" s="1">
        <v>8.5</v>
      </c>
      <c r="H6" s="1">
        <v>8.5</v>
      </c>
      <c r="I6" s="1"/>
      <c r="J6" s="1"/>
      <c r="K6" s="1"/>
      <c r="L6" s="1"/>
      <c r="M6" s="1"/>
      <c r="N6" s="1"/>
      <c r="O6" s="1"/>
      <c r="P6" s="1"/>
      <c r="Q6" s="1"/>
      <c r="R6" s="1">
        <v>11</v>
      </c>
      <c r="S6" s="1">
        <v>6</v>
      </c>
      <c r="T6" s="1">
        <v>9</v>
      </c>
      <c r="U6" s="1">
        <v>8</v>
      </c>
      <c r="V6" s="1">
        <v>89</v>
      </c>
      <c r="W6" s="1">
        <v>84</v>
      </c>
      <c r="X6" s="1">
        <v>96</v>
      </c>
      <c r="Y6" s="1">
        <v>79</v>
      </c>
      <c r="Z6" s="1">
        <v>4</v>
      </c>
      <c r="AA6" s="1">
        <v>2</v>
      </c>
      <c r="AB6" s="1">
        <v>1</v>
      </c>
      <c r="AC6" s="1">
        <v>3</v>
      </c>
      <c r="AD6" s="1">
        <v>6.7</v>
      </c>
      <c r="AE6" s="2">
        <v>1</v>
      </c>
      <c r="AF6" s="2">
        <v>5</v>
      </c>
      <c r="AG6" s="2">
        <v>2</v>
      </c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>
        <v>196.34030000000001</v>
      </c>
      <c r="AU6" s="1">
        <v>196.04220000000001</v>
      </c>
      <c r="AV6" s="1">
        <v>196.18109999999999</v>
      </c>
      <c r="AW6" s="1">
        <v>195.98849999999999</v>
      </c>
      <c r="AX6" s="1">
        <v>196.209</v>
      </c>
      <c r="AY6" s="1">
        <v>10.28</v>
      </c>
      <c r="AZ6" s="1">
        <v>20.58</v>
      </c>
      <c r="BA6" s="1">
        <v>45.91</v>
      </c>
      <c r="BB6" s="1">
        <v>1.8</v>
      </c>
      <c r="BC6" s="1">
        <v>3.75</v>
      </c>
      <c r="BD6" s="1">
        <v>14.68</v>
      </c>
      <c r="BE6" s="1">
        <v>30.55</v>
      </c>
      <c r="BF6" s="1">
        <v>146.62</v>
      </c>
      <c r="BG6" s="2">
        <v>26</v>
      </c>
      <c r="BH6" s="1">
        <v>28</v>
      </c>
      <c r="BI6" s="1">
        <v>23</v>
      </c>
      <c r="BJ6" s="1">
        <v>16</v>
      </c>
    </row>
    <row r="7" spans="1:62" x14ac:dyDescent="0.55000000000000004">
      <c r="A7" s="1"/>
      <c r="B7" s="1"/>
      <c r="C7" s="1"/>
      <c r="D7" s="1"/>
      <c r="E7" s="1">
        <v>8.6</v>
      </c>
      <c r="F7" s="1">
        <v>9.9</v>
      </c>
      <c r="G7" s="1">
        <v>9.8000000000000007</v>
      </c>
      <c r="H7" s="1">
        <v>10.9</v>
      </c>
      <c r="I7" s="1"/>
      <c r="J7" s="1"/>
      <c r="K7" s="1"/>
      <c r="L7" s="1"/>
      <c r="M7" s="1"/>
      <c r="N7" s="1"/>
      <c r="O7" s="1"/>
      <c r="P7" s="1"/>
      <c r="Q7" s="1"/>
      <c r="R7" s="1">
        <v>3</v>
      </c>
      <c r="S7" s="1">
        <v>5</v>
      </c>
      <c r="T7" s="1">
        <v>8</v>
      </c>
      <c r="U7" s="1">
        <v>4</v>
      </c>
      <c r="V7" s="1">
        <v>96</v>
      </c>
      <c r="W7" s="1">
        <v>83</v>
      </c>
      <c r="X7" s="1">
        <v>95</v>
      </c>
      <c r="Y7" s="1">
        <v>81</v>
      </c>
      <c r="Z7" s="1">
        <v>2</v>
      </c>
      <c r="AA7" s="1">
        <v>2</v>
      </c>
      <c r="AB7" s="1">
        <v>2</v>
      </c>
      <c r="AC7" s="1">
        <v>4</v>
      </c>
      <c r="AD7" s="1">
        <v>7.3</v>
      </c>
      <c r="AE7" s="2">
        <v>1</v>
      </c>
      <c r="AF7" s="2">
        <v>6</v>
      </c>
      <c r="AG7" s="2">
        <v>5</v>
      </c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Y7" s="1">
        <v>10.220000000000001</v>
      </c>
      <c r="AZ7" s="1">
        <v>20.43</v>
      </c>
      <c r="BA7" s="1">
        <v>45.21</v>
      </c>
      <c r="BB7" s="1">
        <v>1.73</v>
      </c>
      <c r="BC7" s="1">
        <v>3.66</v>
      </c>
      <c r="BD7" s="1">
        <v>13.62</v>
      </c>
      <c r="BE7" s="1">
        <v>28.62</v>
      </c>
      <c r="BF7" s="1">
        <v>133.13</v>
      </c>
      <c r="BG7" s="2">
        <v>19</v>
      </c>
      <c r="BH7" s="1">
        <v>21</v>
      </c>
      <c r="BI7" s="1">
        <v>18</v>
      </c>
      <c r="BJ7" s="1">
        <v>20</v>
      </c>
    </row>
    <row r="8" spans="1:62" x14ac:dyDescent="0.55000000000000004">
      <c r="A8" s="1"/>
      <c r="B8" s="1"/>
      <c r="C8" s="1"/>
      <c r="D8" s="1"/>
      <c r="E8" s="1">
        <v>8.9</v>
      </c>
      <c r="F8" s="1">
        <v>9</v>
      </c>
      <c r="G8" s="1">
        <v>9.1999999999999993</v>
      </c>
      <c r="H8" s="1">
        <v>10.4</v>
      </c>
      <c r="I8" s="1"/>
      <c r="J8" s="1"/>
      <c r="K8" s="1"/>
      <c r="L8" s="1"/>
      <c r="M8" s="1"/>
      <c r="N8" s="1"/>
      <c r="O8" s="1"/>
      <c r="P8" s="1"/>
      <c r="Q8" s="1"/>
      <c r="R8" s="1">
        <v>6</v>
      </c>
      <c r="S8" s="1">
        <v>0</v>
      </c>
      <c r="T8" s="1">
        <v>14</v>
      </c>
      <c r="U8" s="1">
        <v>8</v>
      </c>
      <c r="V8" s="1">
        <v>91</v>
      </c>
      <c r="W8" s="1">
        <v>88</v>
      </c>
      <c r="X8" s="1">
        <v>94</v>
      </c>
      <c r="Y8" s="1">
        <v>80</v>
      </c>
      <c r="Z8" s="1">
        <v>1</v>
      </c>
      <c r="AA8" s="1">
        <v>3</v>
      </c>
      <c r="AB8" s="1">
        <v>2</v>
      </c>
      <c r="AC8" s="1">
        <v>4</v>
      </c>
      <c r="AD8" s="1">
        <v>8.6999999999999993</v>
      </c>
      <c r="AE8" s="1">
        <v>2</v>
      </c>
      <c r="AF8" s="2">
        <v>1</v>
      </c>
      <c r="AG8" s="1">
        <v>5</v>
      </c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Y8" s="1">
        <v>10.64</v>
      </c>
      <c r="AZ8" s="1">
        <v>21.52</v>
      </c>
      <c r="BA8" s="1">
        <v>48.3</v>
      </c>
      <c r="BB8" s="1">
        <v>1.8</v>
      </c>
      <c r="BC8" s="1">
        <v>3.85</v>
      </c>
      <c r="BD8" s="1">
        <v>14.45</v>
      </c>
      <c r="BE8" s="1">
        <v>30.28</v>
      </c>
      <c r="BF8" s="1">
        <v>139.94999999999999</v>
      </c>
      <c r="BG8" s="2">
        <v>25</v>
      </c>
      <c r="BH8" s="1">
        <v>20</v>
      </c>
      <c r="BI8" s="1">
        <v>20</v>
      </c>
      <c r="BJ8" s="1">
        <v>20</v>
      </c>
    </row>
    <row r="9" spans="1:62" x14ac:dyDescent="0.55000000000000004">
      <c r="A9" s="1"/>
      <c r="B9" s="1"/>
      <c r="C9" s="1"/>
      <c r="D9" s="1"/>
      <c r="E9" s="1">
        <v>7.9</v>
      </c>
      <c r="F9" s="1">
        <v>8.1</v>
      </c>
      <c r="G9" s="1">
        <v>8.1999999999999993</v>
      </c>
      <c r="H9" s="1">
        <v>10</v>
      </c>
      <c r="I9" s="1"/>
      <c r="J9" s="1"/>
      <c r="K9" s="1"/>
      <c r="L9" s="1"/>
      <c r="M9" s="1"/>
      <c r="N9" s="1"/>
      <c r="O9" s="1"/>
      <c r="P9" s="1"/>
      <c r="Q9" s="1"/>
      <c r="R9" s="1">
        <v>0</v>
      </c>
      <c r="S9" s="1">
        <v>0</v>
      </c>
      <c r="T9" s="1">
        <v>4</v>
      </c>
      <c r="U9" s="1">
        <v>2</v>
      </c>
      <c r="V9" s="1">
        <v>92</v>
      </c>
      <c r="W9" s="1">
        <v>91</v>
      </c>
      <c r="X9" s="1"/>
      <c r="Y9" s="1">
        <v>81</v>
      </c>
      <c r="Z9" s="1">
        <v>2</v>
      </c>
      <c r="AA9" s="1">
        <v>4</v>
      </c>
      <c r="AB9" s="1">
        <v>1</v>
      </c>
      <c r="AC9" s="1">
        <v>3</v>
      </c>
      <c r="AD9" s="1">
        <v>8.1999999999999993</v>
      </c>
      <c r="AE9" s="1">
        <v>2</v>
      </c>
      <c r="AF9" s="2">
        <v>2</v>
      </c>
      <c r="AG9" s="1">
        <v>2</v>
      </c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Y9" s="1">
        <v>10.17</v>
      </c>
      <c r="AZ9" s="1">
        <v>20.22</v>
      </c>
      <c r="BA9" s="1">
        <v>45.68</v>
      </c>
      <c r="BB9" s="1">
        <v>1.76</v>
      </c>
      <c r="BC9" s="1">
        <v>3.63</v>
      </c>
      <c r="BD9" s="1">
        <v>13.55</v>
      </c>
      <c r="BE9" s="1">
        <v>28.09</v>
      </c>
      <c r="BF9" s="1">
        <v>130.15</v>
      </c>
      <c r="BG9" s="2">
        <v>29</v>
      </c>
      <c r="BH9" s="1">
        <v>25</v>
      </c>
      <c r="BI9" s="1">
        <v>17</v>
      </c>
      <c r="BJ9" s="1">
        <v>17</v>
      </c>
    </row>
    <row r="10" spans="1:62" x14ac:dyDescent="0.5500000000000000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13</v>
      </c>
      <c r="S10" s="1">
        <v>12</v>
      </c>
      <c r="T10" s="1">
        <v>13</v>
      </c>
      <c r="U10" s="1">
        <v>8</v>
      </c>
      <c r="V10" s="1">
        <v>90</v>
      </c>
      <c r="W10" s="1">
        <v>89</v>
      </c>
      <c r="X10" s="1"/>
      <c r="Y10" s="1"/>
      <c r="Z10" s="1">
        <v>3.5</v>
      </c>
      <c r="AA10" s="1">
        <v>1</v>
      </c>
      <c r="AB10" s="1">
        <v>2</v>
      </c>
      <c r="AC10" s="1">
        <v>3.5</v>
      </c>
      <c r="AD10" s="1">
        <v>8.1</v>
      </c>
      <c r="AE10" s="1">
        <v>2</v>
      </c>
      <c r="AF10" s="2">
        <v>3</v>
      </c>
      <c r="AG10" s="1">
        <v>3</v>
      </c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Y10" s="1">
        <v>10.34</v>
      </c>
      <c r="AZ10" s="1">
        <v>20.8</v>
      </c>
      <c r="BA10" s="1">
        <v>46.2</v>
      </c>
      <c r="BB10" s="1">
        <v>1.79</v>
      </c>
      <c r="BC10" s="1">
        <v>3.71</v>
      </c>
      <c r="BD10" s="1">
        <v>13.61</v>
      </c>
      <c r="BE10" s="1">
        <v>29.3</v>
      </c>
      <c r="BF10" s="1">
        <v>134.03</v>
      </c>
      <c r="BG10" s="2">
        <v>26</v>
      </c>
      <c r="BH10" s="1">
        <v>19</v>
      </c>
      <c r="BI10" s="1">
        <v>25</v>
      </c>
      <c r="BJ10" s="1">
        <v>19</v>
      </c>
    </row>
    <row r="11" spans="1:62" x14ac:dyDescent="0.55000000000000004">
      <c r="A11" s="1"/>
      <c r="B11" s="1"/>
      <c r="C11" s="1"/>
      <c r="D11" s="1"/>
      <c r="E11" s="1"/>
      <c r="F11" s="1"/>
      <c r="G11" s="1"/>
      <c r="H11" s="1"/>
      <c r="I11" s="1" t="s">
        <v>513</v>
      </c>
      <c r="J11" t="s">
        <v>514</v>
      </c>
      <c r="K11" s="1" t="s">
        <v>515</v>
      </c>
      <c r="L11" s="1" t="s">
        <v>231</v>
      </c>
      <c r="M11" s="1"/>
      <c r="N11" s="1"/>
      <c r="O11" s="1"/>
      <c r="P11" s="1"/>
      <c r="Q11" s="1"/>
      <c r="R11" s="1">
        <v>10</v>
      </c>
      <c r="S11" s="1">
        <v>2</v>
      </c>
      <c r="T11" s="1">
        <v>7</v>
      </c>
      <c r="U11" s="1">
        <v>9</v>
      </c>
      <c r="V11" s="1"/>
      <c r="W11" s="1">
        <v>84</v>
      </c>
      <c r="X11" s="1"/>
      <c r="Y11" s="1"/>
      <c r="Z11" s="1">
        <v>4</v>
      </c>
      <c r="AA11" s="1">
        <v>1</v>
      </c>
      <c r="AB11" s="1">
        <v>3</v>
      </c>
      <c r="AC11" s="1">
        <v>2</v>
      </c>
      <c r="AD11" s="1">
        <v>8.5</v>
      </c>
      <c r="AE11" s="1">
        <v>2</v>
      </c>
      <c r="AF11" s="2">
        <v>4</v>
      </c>
      <c r="AG11" s="1">
        <v>1</v>
      </c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Y11" s="1">
        <v>10.51</v>
      </c>
      <c r="AZ11" s="1">
        <v>21.04</v>
      </c>
      <c r="BA11" s="1">
        <v>47.3</v>
      </c>
      <c r="BB11" s="1">
        <v>1.81</v>
      </c>
      <c r="BC11" s="1">
        <v>3.73</v>
      </c>
      <c r="BD11" s="1">
        <v>13.9</v>
      </c>
      <c r="BE11" s="1">
        <v>29.13</v>
      </c>
      <c r="BF11" s="1">
        <v>133.53</v>
      </c>
      <c r="BG11" s="2">
        <v>28</v>
      </c>
      <c r="BH11" s="1">
        <v>24</v>
      </c>
      <c r="BI11" s="1">
        <v>21</v>
      </c>
      <c r="BJ11" s="1">
        <v>17</v>
      </c>
    </row>
    <row r="12" spans="1:62" x14ac:dyDescent="0.55000000000000004">
      <c r="A12" s="1"/>
      <c r="B12" s="1"/>
      <c r="C12" s="1"/>
      <c r="D12" s="1"/>
      <c r="E12" s="1"/>
      <c r="F12" s="1"/>
      <c r="G12" s="1"/>
      <c r="H12" s="1"/>
      <c r="I12" s="1" t="s">
        <v>100</v>
      </c>
      <c r="J12">
        <v>1</v>
      </c>
      <c r="K12" s="1">
        <v>1</v>
      </c>
      <c r="L12" s="1">
        <v>9.8000000000000007</v>
      </c>
      <c r="M12" s="1"/>
      <c r="N12" s="1"/>
      <c r="O12" s="1"/>
      <c r="P12" s="1"/>
      <c r="Q12" s="1"/>
      <c r="R12" s="1">
        <v>7</v>
      </c>
      <c r="S12" s="1">
        <v>5</v>
      </c>
      <c r="T12" s="1">
        <v>10</v>
      </c>
      <c r="U12" s="1">
        <v>7</v>
      </c>
      <c r="V12" s="1"/>
      <c r="W12" s="1"/>
      <c r="X12" s="1"/>
      <c r="Y12" s="1"/>
      <c r="Z12" s="1">
        <v>4</v>
      </c>
      <c r="AA12" s="1">
        <v>2</v>
      </c>
      <c r="AB12" s="1">
        <v>3</v>
      </c>
      <c r="AC12" s="1">
        <v>1</v>
      </c>
      <c r="AD12" s="1">
        <v>9.9</v>
      </c>
      <c r="AE12" s="1">
        <v>2</v>
      </c>
      <c r="AF12" s="2">
        <v>5</v>
      </c>
      <c r="AG12" s="1">
        <v>4</v>
      </c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Y12" s="1">
        <v>10.43</v>
      </c>
      <c r="AZ12" s="1">
        <v>21.05</v>
      </c>
      <c r="BA12" s="1">
        <v>46.1</v>
      </c>
      <c r="BB12" s="1">
        <v>1.82</v>
      </c>
      <c r="BC12" s="1">
        <v>3.74</v>
      </c>
      <c r="BD12" s="1">
        <v>13.49</v>
      </c>
      <c r="BE12" s="1">
        <v>27.88</v>
      </c>
      <c r="BF12" s="1">
        <v>131.35</v>
      </c>
    </row>
    <row r="13" spans="1:62" x14ac:dyDescent="0.55000000000000004">
      <c r="A13" s="1"/>
      <c r="B13" s="1"/>
      <c r="C13" s="1"/>
      <c r="D13" s="1"/>
      <c r="E13" s="1"/>
      <c r="F13" s="1"/>
      <c r="G13" s="1"/>
      <c r="H13" s="1"/>
      <c r="I13" s="1" t="s">
        <v>100</v>
      </c>
      <c r="J13">
        <v>2</v>
      </c>
      <c r="K13" s="1">
        <v>1</v>
      </c>
      <c r="L13" s="1">
        <v>9.1999999999999993</v>
      </c>
      <c r="M13" s="1"/>
      <c r="N13" s="1"/>
      <c r="O13" s="1"/>
      <c r="P13" s="1"/>
      <c r="Q13" s="1"/>
      <c r="R13" s="1">
        <v>13</v>
      </c>
      <c r="S13" s="1">
        <v>13</v>
      </c>
      <c r="T13" s="1">
        <v>6</v>
      </c>
      <c r="U13" s="1">
        <v>7</v>
      </c>
      <c r="V13" s="1"/>
      <c r="W13" s="1"/>
      <c r="X13" s="1"/>
      <c r="Y13" s="1"/>
      <c r="Z13" s="1">
        <v>3.5</v>
      </c>
      <c r="AA13" s="1">
        <v>1</v>
      </c>
      <c r="AB13" s="1">
        <v>2</v>
      </c>
      <c r="AC13" s="1">
        <v>3.5</v>
      </c>
      <c r="AD13" s="1">
        <v>8.3000000000000007</v>
      </c>
      <c r="AE13" s="1">
        <v>2</v>
      </c>
      <c r="AF13" s="2">
        <v>6</v>
      </c>
      <c r="AG13" s="1">
        <v>6</v>
      </c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Y13" s="1">
        <v>12.18</v>
      </c>
      <c r="AZ13" s="1">
        <v>23.2</v>
      </c>
      <c r="BA13" s="1">
        <v>52.94</v>
      </c>
      <c r="BB13" s="1">
        <v>2.02</v>
      </c>
      <c r="BC13" s="1">
        <v>4.24</v>
      </c>
      <c r="BD13" s="1">
        <v>16.7</v>
      </c>
      <c r="BE13" s="1">
        <v>35.380000000000003</v>
      </c>
      <c r="BF13" s="1">
        <v>164.7</v>
      </c>
    </row>
    <row r="14" spans="1:62" x14ac:dyDescent="0.55000000000000004">
      <c r="A14" s="1"/>
      <c r="B14" s="1"/>
      <c r="C14" s="1"/>
      <c r="D14" s="1"/>
      <c r="E14" s="1"/>
      <c r="F14" s="1"/>
      <c r="G14" s="1"/>
      <c r="H14" s="1"/>
      <c r="I14" s="1" t="s">
        <v>100</v>
      </c>
      <c r="J14">
        <v>3</v>
      </c>
      <c r="K14" s="1">
        <v>1</v>
      </c>
      <c r="L14" s="1">
        <v>8.4</v>
      </c>
      <c r="M14" s="1"/>
      <c r="N14" s="1"/>
      <c r="O14" s="1"/>
      <c r="P14" s="1"/>
      <c r="Q14" s="1"/>
      <c r="R14" s="1">
        <v>8</v>
      </c>
      <c r="S14" s="1">
        <v>10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>
        <v>7.4</v>
      </c>
      <c r="AE14" s="1">
        <v>3</v>
      </c>
      <c r="AF14" s="2">
        <v>1</v>
      </c>
      <c r="AG14" s="1">
        <v>4</v>
      </c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Y14" s="1">
        <v>10.94</v>
      </c>
      <c r="AZ14" s="1">
        <v>21.9</v>
      </c>
      <c r="BA14" s="1">
        <v>48.66</v>
      </c>
      <c r="BB14" s="1">
        <v>1.87</v>
      </c>
      <c r="BC14" s="1">
        <v>3.84</v>
      </c>
      <c r="BD14" s="1">
        <v>14.03</v>
      </c>
      <c r="BE14" s="1">
        <v>28.81</v>
      </c>
      <c r="BF14" s="1">
        <v>136.58000000000001</v>
      </c>
    </row>
    <row r="15" spans="1:62" x14ac:dyDescent="0.55000000000000004">
      <c r="A15" s="1"/>
      <c r="B15" s="1"/>
      <c r="C15" s="1"/>
      <c r="D15" s="1"/>
      <c r="E15" s="1"/>
      <c r="F15" s="1"/>
      <c r="G15" s="1"/>
      <c r="H15" s="1"/>
      <c r="I15" s="1" t="s">
        <v>100</v>
      </c>
      <c r="J15">
        <v>1</v>
      </c>
      <c r="K15" s="1">
        <v>2</v>
      </c>
      <c r="L15" s="1">
        <v>10.1</v>
      </c>
      <c r="M15" s="1"/>
      <c r="N15" s="1"/>
      <c r="O15" s="1"/>
      <c r="P15" s="1"/>
      <c r="Q15" s="1"/>
      <c r="R15" s="1">
        <v>7</v>
      </c>
      <c r="S15" s="1">
        <v>7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>
        <v>7.7</v>
      </c>
      <c r="AE15" s="1">
        <v>3</v>
      </c>
      <c r="AF15" s="2">
        <v>2</v>
      </c>
      <c r="AG15" s="1">
        <v>6</v>
      </c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Y15" s="1">
        <v>10.35</v>
      </c>
      <c r="AZ15" s="1">
        <v>20.65</v>
      </c>
      <c r="BA15" s="1">
        <v>45.64</v>
      </c>
      <c r="BB15" s="1">
        <v>1.76</v>
      </c>
      <c r="BC15" s="1">
        <v>3.58</v>
      </c>
      <c r="BD15" s="1">
        <v>13.42</v>
      </c>
      <c r="BE15" s="1">
        <v>28.19</v>
      </c>
      <c r="BF15" s="1">
        <v>134.32</v>
      </c>
    </row>
    <row r="16" spans="1:62" x14ac:dyDescent="0.55000000000000004">
      <c r="A16" s="1"/>
      <c r="B16" s="1"/>
      <c r="C16" s="1"/>
      <c r="D16" s="1"/>
      <c r="E16" s="1"/>
      <c r="F16" s="1"/>
      <c r="G16" s="1"/>
      <c r="H16" s="1"/>
      <c r="I16" s="1" t="s">
        <v>100</v>
      </c>
      <c r="J16">
        <v>2</v>
      </c>
      <c r="K16" s="1">
        <v>2</v>
      </c>
      <c r="L16" s="1">
        <v>8.6</v>
      </c>
      <c r="M16" s="1"/>
      <c r="N16" s="1"/>
      <c r="O16" s="1"/>
      <c r="P16" s="1"/>
      <c r="Q16" s="1"/>
      <c r="R16" s="1">
        <v>9</v>
      </c>
      <c r="S16" s="1">
        <v>0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>
        <v>6</v>
      </c>
      <c r="AE16" s="1">
        <v>3</v>
      </c>
      <c r="AF16" s="2">
        <v>3</v>
      </c>
      <c r="AG16" s="1">
        <v>5</v>
      </c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Y16" s="1">
        <v>10.56</v>
      </c>
      <c r="AZ16" s="1">
        <v>20.52</v>
      </c>
      <c r="BA16" s="1">
        <v>45.89</v>
      </c>
      <c r="BB16" s="1">
        <v>1.78</v>
      </c>
      <c r="BC16" s="1">
        <v>3.61</v>
      </c>
      <c r="BD16" s="1">
        <v>13.5</v>
      </c>
      <c r="BE16" s="1">
        <v>28.11</v>
      </c>
      <c r="BF16" s="1">
        <v>130.78</v>
      </c>
    </row>
    <row r="17" spans="1:58" x14ac:dyDescent="0.55000000000000004">
      <c r="A17" s="1"/>
      <c r="B17" s="1"/>
      <c r="C17" s="1"/>
      <c r="D17" s="1"/>
      <c r="E17" s="1"/>
      <c r="F17" s="1"/>
      <c r="G17" s="1"/>
      <c r="H17" s="1"/>
      <c r="I17" s="1" t="s">
        <v>100</v>
      </c>
      <c r="J17">
        <v>3</v>
      </c>
      <c r="K17" s="1">
        <v>2</v>
      </c>
      <c r="L17" s="1">
        <v>7.9</v>
      </c>
      <c r="M17" s="1"/>
      <c r="N17" s="1"/>
      <c r="O17" s="1"/>
      <c r="P17" s="1"/>
      <c r="Q17" s="1"/>
      <c r="R17" s="1">
        <v>10</v>
      </c>
      <c r="S17" s="1">
        <v>6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>
        <v>6.8</v>
      </c>
      <c r="AE17" s="1">
        <v>3</v>
      </c>
      <c r="AF17" s="2">
        <v>4</v>
      </c>
      <c r="AG17" s="1">
        <v>3</v>
      </c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Y17" s="1">
        <v>10.14</v>
      </c>
      <c r="AZ17" s="1">
        <v>20.65</v>
      </c>
      <c r="BA17" s="1">
        <v>46.8</v>
      </c>
      <c r="BB17" s="1">
        <v>1.82</v>
      </c>
      <c r="BC17" s="1">
        <v>3.82</v>
      </c>
      <c r="BD17" s="1">
        <v>14.91</v>
      </c>
      <c r="BE17" s="1">
        <v>31.45</v>
      </c>
      <c r="BF17" s="1">
        <v>154.12</v>
      </c>
    </row>
    <row r="18" spans="1:58" x14ac:dyDescent="0.55000000000000004">
      <c r="A18" s="1"/>
      <c r="B18" s="1"/>
      <c r="C18" s="1"/>
      <c r="D18" s="1"/>
      <c r="E18" s="1"/>
      <c r="F18" s="1"/>
      <c r="G18" s="1"/>
      <c r="H18" s="1"/>
      <c r="I18" s="1" t="s">
        <v>100</v>
      </c>
      <c r="J18">
        <v>1</v>
      </c>
      <c r="K18" s="1">
        <v>3</v>
      </c>
      <c r="L18" s="1">
        <v>9.8000000000000007</v>
      </c>
      <c r="M18" s="1"/>
      <c r="N18" s="1"/>
      <c r="O18" s="1"/>
      <c r="P18" s="1"/>
      <c r="Q18" s="1"/>
      <c r="R18" s="1">
        <v>2</v>
      </c>
      <c r="S18" s="1">
        <v>2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>
        <v>7.3</v>
      </c>
      <c r="AE18" s="1">
        <v>3</v>
      </c>
      <c r="AF18" s="2">
        <v>5</v>
      </c>
      <c r="AG18" s="1">
        <v>1</v>
      </c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Y18" s="1">
        <v>10.43</v>
      </c>
      <c r="AZ18" s="1">
        <v>20.69</v>
      </c>
      <c r="BA18" s="1">
        <v>45.49</v>
      </c>
      <c r="BB18" s="1">
        <v>1.74</v>
      </c>
      <c r="BC18" s="1">
        <v>3.61</v>
      </c>
      <c r="BD18" s="1">
        <v>13.27</v>
      </c>
      <c r="BE18" s="1">
        <v>27.52</v>
      </c>
      <c r="BF18" s="1">
        <v>130.87</v>
      </c>
    </row>
    <row r="19" spans="1:58" x14ac:dyDescent="0.55000000000000004">
      <c r="A19" s="1"/>
      <c r="B19" s="1"/>
      <c r="C19" s="1"/>
      <c r="D19" s="1"/>
      <c r="E19" s="1"/>
      <c r="F19" s="1"/>
      <c r="G19" s="1"/>
      <c r="H19" s="1"/>
      <c r="I19" s="1" t="s">
        <v>100</v>
      </c>
      <c r="J19">
        <v>2</v>
      </c>
      <c r="K19" s="1">
        <v>3</v>
      </c>
      <c r="L19" s="1">
        <v>9.1999999999999993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>
        <v>7.3</v>
      </c>
      <c r="AE19" s="1">
        <v>3</v>
      </c>
      <c r="AF19" s="2">
        <v>6</v>
      </c>
      <c r="AG19" s="1">
        <v>2</v>
      </c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Y19" s="1">
        <v>10.11</v>
      </c>
      <c r="AZ19" s="1">
        <v>20.38</v>
      </c>
      <c r="BA19" s="1">
        <v>45.28</v>
      </c>
      <c r="BB19" s="1">
        <v>1.73</v>
      </c>
      <c r="BC19" s="1">
        <v>3.57</v>
      </c>
      <c r="BD19" s="1">
        <v>13.34</v>
      </c>
      <c r="BE19" s="1">
        <v>27.97</v>
      </c>
      <c r="BF19" s="1">
        <v>132.30000000000001</v>
      </c>
    </row>
    <row r="20" spans="1:58" x14ac:dyDescent="0.55000000000000004">
      <c r="A20" s="1"/>
      <c r="B20" s="1"/>
      <c r="C20" s="1"/>
      <c r="D20" s="1"/>
      <c r="E20" s="1"/>
      <c r="F20" s="1"/>
      <c r="G20" s="1"/>
      <c r="H20" s="1"/>
      <c r="I20" s="1" t="s">
        <v>100</v>
      </c>
      <c r="J20">
        <v>3</v>
      </c>
      <c r="K20" s="1">
        <v>3</v>
      </c>
      <c r="L20" s="1">
        <v>8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>
        <v>7.4</v>
      </c>
      <c r="AE20" s="1">
        <v>4</v>
      </c>
      <c r="AF20" s="2">
        <v>1</v>
      </c>
      <c r="AG20" s="1">
        <v>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Y20" s="1">
        <v>10.119999999999999</v>
      </c>
      <c r="AZ20" s="1">
        <v>20.329999999999998</v>
      </c>
      <c r="BA20" s="1">
        <v>44.87</v>
      </c>
      <c r="BB20" s="1">
        <v>1.73</v>
      </c>
      <c r="BC20" s="1">
        <v>3.56</v>
      </c>
      <c r="BD20" s="1">
        <v>13.17</v>
      </c>
      <c r="BE20" s="1">
        <v>27.42</v>
      </c>
      <c r="BF20" s="1">
        <v>129.91999999999999</v>
      </c>
    </row>
    <row r="21" spans="1:58" x14ac:dyDescent="0.55000000000000004">
      <c r="A21" s="1"/>
      <c r="B21" s="1"/>
      <c r="C21" s="1"/>
      <c r="D21" s="1"/>
      <c r="E21" s="1"/>
      <c r="F21" s="1"/>
      <c r="G21" s="1"/>
      <c r="H21" s="1"/>
      <c r="I21" s="1" t="s">
        <v>7</v>
      </c>
      <c r="J21">
        <v>1</v>
      </c>
      <c r="K21" s="1">
        <v>1</v>
      </c>
      <c r="L21" s="1">
        <v>9.9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>
        <v>7.1</v>
      </c>
      <c r="AE21" s="1">
        <v>4</v>
      </c>
      <c r="AF21" s="2">
        <v>2</v>
      </c>
      <c r="AG21" s="1">
        <v>5</v>
      </c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Y21" s="1">
        <v>10.16</v>
      </c>
      <c r="AZ21" s="1">
        <v>20.37</v>
      </c>
      <c r="BA21" s="1">
        <v>44.5</v>
      </c>
      <c r="BB21" s="1">
        <v>1.73</v>
      </c>
      <c r="BC21" s="1">
        <v>3.53</v>
      </c>
      <c r="BD21" s="1">
        <v>13.21</v>
      </c>
      <c r="BE21" s="1">
        <v>27.61</v>
      </c>
      <c r="BF21" s="1">
        <v>132.22999999999999</v>
      </c>
    </row>
    <row r="22" spans="1:58" x14ac:dyDescent="0.55000000000000004">
      <c r="A22" s="1"/>
      <c r="B22" s="1"/>
      <c r="C22" s="1"/>
      <c r="D22" s="1"/>
      <c r="E22" s="1"/>
      <c r="F22" s="1"/>
      <c r="G22" s="1"/>
      <c r="H22" s="1"/>
      <c r="I22" s="1" t="s">
        <v>7</v>
      </c>
      <c r="J22">
        <v>2</v>
      </c>
      <c r="K22" s="1">
        <v>1</v>
      </c>
      <c r="L22" s="1">
        <v>9.1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>
        <v>6.4</v>
      </c>
      <c r="AE22" s="1">
        <v>4</v>
      </c>
      <c r="AF22" s="2">
        <v>3</v>
      </c>
      <c r="AG22" s="1">
        <v>6</v>
      </c>
      <c r="AY22" s="1">
        <v>10.11</v>
      </c>
      <c r="AZ22" s="1">
        <v>20.21</v>
      </c>
      <c r="BA22" s="1">
        <v>44.93</v>
      </c>
      <c r="BB22" s="1">
        <v>1.7</v>
      </c>
      <c r="BC22" s="1">
        <v>3.51</v>
      </c>
      <c r="BD22" s="1">
        <v>13.01</v>
      </c>
      <c r="BE22" s="1">
        <v>27.51</v>
      </c>
      <c r="BF22" s="1">
        <v>129.13</v>
      </c>
    </row>
    <row r="23" spans="1:58" x14ac:dyDescent="0.55000000000000004">
      <c r="A23" s="1"/>
      <c r="B23" s="1"/>
      <c r="C23" s="1"/>
      <c r="D23" s="1"/>
      <c r="E23" s="1"/>
      <c r="F23" s="1"/>
      <c r="G23" s="1"/>
      <c r="H23" s="1"/>
      <c r="I23" s="1" t="s">
        <v>7</v>
      </c>
      <c r="J23">
        <v>3</v>
      </c>
      <c r="K23" s="1">
        <v>1</v>
      </c>
      <c r="L23" s="1">
        <v>8.6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>
        <v>7.7</v>
      </c>
      <c r="AE23" s="1">
        <v>4</v>
      </c>
      <c r="AF23" s="2">
        <v>4</v>
      </c>
      <c r="AG23" s="1">
        <v>2</v>
      </c>
      <c r="AY23" s="1">
        <v>10.220000000000001</v>
      </c>
      <c r="AZ23" s="1">
        <v>20.71</v>
      </c>
      <c r="BA23" s="1">
        <v>46.56</v>
      </c>
      <c r="BB23" s="1">
        <v>1.78</v>
      </c>
      <c r="BC23" s="1">
        <v>3.64</v>
      </c>
      <c r="BD23" s="1">
        <v>14.59</v>
      </c>
      <c r="BE23" s="1">
        <v>28.45</v>
      </c>
      <c r="BF23" s="1">
        <v>134.6</v>
      </c>
    </row>
    <row r="24" spans="1:58" x14ac:dyDescent="0.55000000000000004">
      <c r="A24" s="1"/>
      <c r="B24" s="1"/>
      <c r="C24" s="1"/>
      <c r="D24" s="1"/>
      <c r="E24" s="1"/>
      <c r="F24" s="1"/>
      <c r="G24" s="1"/>
      <c r="H24" s="1"/>
      <c r="I24" s="1" t="s">
        <v>7</v>
      </c>
      <c r="J24">
        <v>1</v>
      </c>
      <c r="K24" s="1">
        <v>2</v>
      </c>
      <c r="L24" s="1">
        <v>9.5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>
        <v>6.4</v>
      </c>
      <c r="AE24" s="1">
        <v>4</v>
      </c>
      <c r="AF24" s="2">
        <v>5</v>
      </c>
      <c r="AG24" s="1">
        <v>3</v>
      </c>
      <c r="AY24" s="1">
        <v>10.98</v>
      </c>
      <c r="AZ24" s="1">
        <v>21.82</v>
      </c>
      <c r="BA24" s="1">
        <v>48.4</v>
      </c>
      <c r="BB24" s="1">
        <v>1.89</v>
      </c>
      <c r="BC24" s="1">
        <v>3.8</v>
      </c>
      <c r="BD24" s="1">
        <v>14.16</v>
      </c>
      <c r="BE24" s="1">
        <v>30.11</v>
      </c>
      <c r="BF24" s="1">
        <v>139.33000000000001</v>
      </c>
    </row>
    <row r="25" spans="1:58" x14ac:dyDescent="0.55000000000000004">
      <c r="A25" s="1"/>
      <c r="B25" s="1"/>
      <c r="C25" s="1"/>
      <c r="D25" s="1"/>
      <c r="E25" s="1"/>
      <c r="F25" s="1"/>
      <c r="G25" s="1"/>
      <c r="H25" s="1"/>
      <c r="I25" s="1" t="s">
        <v>7</v>
      </c>
      <c r="J25">
        <v>2</v>
      </c>
      <c r="K25" s="1">
        <v>2</v>
      </c>
      <c r="L25" s="1">
        <v>9.1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>
        <v>5.8</v>
      </c>
      <c r="AE25" s="1">
        <v>4</v>
      </c>
      <c r="AF25" s="2">
        <v>6</v>
      </c>
      <c r="AG25" s="1">
        <v>4</v>
      </c>
      <c r="AY25" s="1">
        <v>10.26</v>
      </c>
      <c r="AZ25" s="1">
        <v>20.62</v>
      </c>
      <c r="BA25" s="1">
        <v>46.02</v>
      </c>
      <c r="BB25" s="1">
        <v>1.77</v>
      </c>
      <c r="BC25" s="1">
        <v>3.62</v>
      </c>
      <c r="BD25" s="1">
        <v>13.49</v>
      </c>
      <c r="BE25" s="1">
        <v>28.44</v>
      </c>
      <c r="BF25" s="1">
        <v>132.58000000000001</v>
      </c>
    </row>
    <row r="26" spans="1:58" x14ac:dyDescent="0.55000000000000004">
      <c r="A26" s="1"/>
      <c r="B26" s="1"/>
      <c r="C26" s="1"/>
      <c r="D26" s="1"/>
      <c r="E26" s="1"/>
      <c r="F26" s="1"/>
      <c r="G26" s="1"/>
      <c r="H26" s="1"/>
      <c r="I26" s="1" t="s">
        <v>7</v>
      </c>
      <c r="J26">
        <v>3</v>
      </c>
      <c r="K26" s="1">
        <v>2</v>
      </c>
      <c r="L26" s="1"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>
        <v>7.1</v>
      </c>
      <c r="AE26" s="1">
        <v>5</v>
      </c>
      <c r="AF26" s="2">
        <v>1</v>
      </c>
      <c r="AG26" s="1">
        <v>6</v>
      </c>
      <c r="AY26" s="1">
        <v>10.6</v>
      </c>
      <c r="AZ26" s="1">
        <v>21.42</v>
      </c>
      <c r="BA26" s="1">
        <v>45.73</v>
      </c>
      <c r="BB26" s="1">
        <v>1.76</v>
      </c>
      <c r="BC26" s="1">
        <v>3.73</v>
      </c>
      <c r="BD26" s="1">
        <v>13.77</v>
      </c>
      <c r="BE26" s="1">
        <v>28.81</v>
      </c>
      <c r="BF26" s="1">
        <v>131.97999999999999</v>
      </c>
    </row>
    <row r="27" spans="1:58" x14ac:dyDescent="0.55000000000000004">
      <c r="A27" s="1"/>
      <c r="B27" s="1"/>
      <c r="C27" s="1"/>
      <c r="D27" s="1"/>
      <c r="E27" s="1"/>
      <c r="F27" s="1"/>
      <c r="G27" s="1"/>
      <c r="H27" s="1"/>
      <c r="I27" s="1" t="s">
        <v>7</v>
      </c>
      <c r="J27">
        <v>1</v>
      </c>
      <c r="K27" s="1">
        <v>3</v>
      </c>
      <c r="L27" s="1"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>
        <v>8.1</v>
      </c>
      <c r="AE27" s="1">
        <v>5</v>
      </c>
      <c r="AF27" s="2">
        <v>2</v>
      </c>
      <c r="AG27" s="1">
        <v>3</v>
      </c>
      <c r="AY27" s="1">
        <v>10.59</v>
      </c>
      <c r="AZ27" s="1">
        <v>21.49</v>
      </c>
      <c r="BA27" s="1">
        <v>47.8</v>
      </c>
      <c r="BB27" s="1">
        <v>1.84</v>
      </c>
      <c r="BC27" s="1">
        <v>3.92</v>
      </c>
      <c r="BD27" s="1">
        <v>14.73</v>
      </c>
      <c r="BE27" s="1">
        <v>30.79</v>
      </c>
      <c r="BF27" s="1">
        <v>148.83000000000001</v>
      </c>
    </row>
    <row r="28" spans="1:58" x14ac:dyDescent="0.55000000000000004">
      <c r="A28" s="1"/>
      <c r="B28" s="1"/>
      <c r="C28" s="1"/>
      <c r="D28" s="1"/>
      <c r="E28" s="1"/>
      <c r="F28" s="1"/>
      <c r="G28" s="1"/>
      <c r="H28" s="1"/>
      <c r="I28" s="1" t="s">
        <v>7</v>
      </c>
      <c r="J28">
        <v>2</v>
      </c>
      <c r="K28" s="1">
        <v>3</v>
      </c>
      <c r="L28" s="1">
        <v>9.4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>
        <v>6.2</v>
      </c>
      <c r="AE28" s="1">
        <v>5</v>
      </c>
      <c r="AF28" s="2">
        <v>3</v>
      </c>
      <c r="AG28" s="1">
        <v>2</v>
      </c>
      <c r="AY28" s="1">
        <v>10.61</v>
      </c>
      <c r="AZ28" s="1">
        <v>20.96</v>
      </c>
      <c r="BA28" s="1">
        <v>46.3</v>
      </c>
      <c r="BB28" s="1">
        <v>1.79</v>
      </c>
      <c r="BC28" s="1">
        <v>3.56</v>
      </c>
      <c r="BD28" s="1">
        <v>13.32</v>
      </c>
      <c r="BE28" s="1">
        <v>27.81</v>
      </c>
      <c r="BF28" s="1">
        <v>132.35</v>
      </c>
    </row>
    <row r="29" spans="1:58" x14ac:dyDescent="0.55000000000000004">
      <c r="A29" s="1"/>
      <c r="B29" s="1"/>
      <c r="C29" s="1"/>
      <c r="D29" s="1"/>
      <c r="E29" s="1"/>
      <c r="F29" s="1"/>
      <c r="G29" s="1"/>
      <c r="H29" s="1"/>
      <c r="I29" s="1" t="s">
        <v>7</v>
      </c>
      <c r="J29">
        <v>3</v>
      </c>
      <c r="K29" s="1">
        <v>3</v>
      </c>
      <c r="L29" s="1">
        <v>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>
        <v>8.5</v>
      </c>
      <c r="AE29" s="1">
        <v>5</v>
      </c>
      <c r="AF29" s="2">
        <v>4</v>
      </c>
      <c r="AG29" s="1">
        <v>4</v>
      </c>
      <c r="AY29" s="1">
        <v>10.71</v>
      </c>
      <c r="AZ29" s="1">
        <v>21</v>
      </c>
      <c r="BA29" s="1">
        <v>47.8</v>
      </c>
      <c r="BB29" s="1">
        <v>1.77</v>
      </c>
      <c r="BC29" s="1">
        <v>3.72</v>
      </c>
      <c r="BD29" s="1">
        <v>13.66</v>
      </c>
      <c r="BE29" s="1">
        <v>28.93</v>
      </c>
      <c r="BF29" s="1">
        <v>137.55000000000001</v>
      </c>
    </row>
    <row r="30" spans="1:58" x14ac:dyDescent="0.55000000000000004">
      <c r="A30" s="1"/>
      <c r="B30" s="1"/>
      <c r="C30" s="1"/>
      <c r="D30" s="1"/>
      <c r="E30" s="1"/>
      <c r="F30" s="1"/>
      <c r="G30" s="1"/>
      <c r="H30" s="1"/>
      <c r="I30" s="1" t="s">
        <v>415</v>
      </c>
      <c r="J30">
        <v>1</v>
      </c>
      <c r="K30" s="1">
        <v>1</v>
      </c>
      <c r="L30" s="1">
        <v>11.3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>
        <v>6.4</v>
      </c>
      <c r="AE30" s="1">
        <v>5</v>
      </c>
      <c r="AF30" s="2">
        <v>5</v>
      </c>
      <c r="AG30" s="1">
        <v>5</v>
      </c>
      <c r="AY30" s="1">
        <v>10.01</v>
      </c>
      <c r="AZ30" s="1">
        <v>19.72</v>
      </c>
      <c r="BA30" s="1">
        <v>45.26</v>
      </c>
      <c r="BB30" s="1">
        <v>1.73</v>
      </c>
      <c r="BC30" s="1">
        <v>3.6</v>
      </c>
      <c r="BD30" s="1">
        <v>13.23</v>
      </c>
      <c r="BE30" s="1">
        <v>27.52</v>
      </c>
      <c r="BF30" s="1">
        <v>131.08000000000001</v>
      </c>
    </row>
    <row r="31" spans="1:58" x14ac:dyDescent="0.55000000000000004">
      <c r="A31" s="1"/>
      <c r="B31" s="1"/>
      <c r="C31" s="1"/>
      <c r="D31" s="1"/>
      <c r="E31" s="1"/>
      <c r="F31" s="1"/>
      <c r="G31" s="1"/>
      <c r="H31" s="1"/>
      <c r="I31" s="1" t="s">
        <v>415</v>
      </c>
      <c r="J31">
        <v>2</v>
      </c>
      <c r="K31" s="1">
        <v>1</v>
      </c>
      <c r="L31" s="1">
        <v>10.3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>
        <v>6.4</v>
      </c>
      <c r="AE31" s="1">
        <v>5</v>
      </c>
      <c r="AF31" s="2">
        <v>6</v>
      </c>
      <c r="AG31" s="1">
        <v>1</v>
      </c>
      <c r="AY31" s="1">
        <v>10.34</v>
      </c>
      <c r="AZ31" s="1">
        <v>20.81</v>
      </c>
      <c r="BA31" s="1">
        <v>45.86</v>
      </c>
      <c r="BB31" s="1">
        <v>1.79</v>
      </c>
      <c r="BC31" s="1">
        <v>3.64</v>
      </c>
      <c r="BD31" s="1">
        <v>13.41</v>
      </c>
      <c r="BE31" s="1">
        <v>27.72</v>
      </c>
      <c r="BF31" s="1">
        <v>128.63</v>
      </c>
    </row>
    <row r="32" spans="1:58" x14ac:dyDescent="0.55000000000000004">
      <c r="A32" s="1"/>
      <c r="B32" s="1"/>
      <c r="C32" s="1"/>
      <c r="D32" s="1"/>
      <c r="E32" s="1"/>
      <c r="F32" s="1"/>
      <c r="G32" s="1"/>
      <c r="H32" s="1"/>
      <c r="I32" s="1" t="s">
        <v>415</v>
      </c>
      <c r="J32">
        <v>3</v>
      </c>
      <c r="K32" s="1">
        <v>1</v>
      </c>
      <c r="L32" s="1">
        <v>9.8000000000000007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>
        <v>8.1999999999999993</v>
      </c>
      <c r="AE32" s="1">
        <v>6</v>
      </c>
      <c r="AF32" s="2">
        <v>1</v>
      </c>
      <c r="AG32" s="1">
        <v>2</v>
      </c>
      <c r="AY32" s="1">
        <v>10.46</v>
      </c>
      <c r="AZ32" s="1">
        <v>20.66</v>
      </c>
      <c r="BA32" s="1">
        <v>44.92</v>
      </c>
      <c r="BB32" s="1">
        <v>1.73</v>
      </c>
      <c r="BC32" s="1">
        <v>3.55</v>
      </c>
      <c r="BD32" s="1">
        <v>13.1</v>
      </c>
      <c r="BE32" s="1">
        <v>27.8</v>
      </c>
      <c r="BF32" s="1">
        <v>129.75</v>
      </c>
    </row>
    <row r="33" spans="1:58" x14ac:dyDescent="0.55000000000000004">
      <c r="A33" s="1"/>
      <c r="B33" s="1"/>
      <c r="C33" s="1"/>
      <c r="D33" s="1"/>
      <c r="E33" s="1"/>
      <c r="F33" s="1"/>
      <c r="G33" s="1"/>
      <c r="H33" s="1"/>
      <c r="I33" s="1" t="s">
        <v>415</v>
      </c>
      <c r="J33">
        <v>1</v>
      </c>
      <c r="K33" s="1">
        <v>2</v>
      </c>
      <c r="L33" s="1">
        <v>10.7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>
        <v>5.9</v>
      </c>
      <c r="AE33" s="1">
        <v>6</v>
      </c>
      <c r="AF33" s="2">
        <v>2</v>
      </c>
      <c r="AG33" s="1">
        <v>1</v>
      </c>
      <c r="AY33" s="1">
        <v>10.34</v>
      </c>
      <c r="AZ33" s="1">
        <v>20.89</v>
      </c>
      <c r="BA33" s="1">
        <v>46.9</v>
      </c>
      <c r="BB33" s="1">
        <v>1.79</v>
      </c>
      <c r="BC33" s="1">
        <v>3.77</v>
      </c>
      <c r="BD33" s="1">
        <v>13.96</v>
      </c>
      <c r="BE33" s="1">
        <v>29.23</v>
      </c>
      <c r="BF33" s="1">
        <v>136.25</v>
      </c>
    </row>
    <row r="34" spans="1:58" x14ac:dyDescent="0.55000000000000004">
      <c r="A34" s="1"/>
      <c r="B34" s="1"/>
      <c r="C34" s="1"/>
      <c r="D34" s="1"/>
      <c r="E34" s="1"/>
      <c r="F34" s="1"/>
      <c r="G34" s="1"/>
      <c r="H34" s="1"/>
      <c r="I34" s="1" t="s">
        <v>415</v>
      </c>
      <c r="J34">
        <v>2</v>
      </c>
      <c r="K34" s="1">
        <v>2</v>
      </c>
      <c r="L34" s="1">
        <v>10.7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>
        <v>7.5</v>
      </c>
      <c r="AE34" s="1">
        <v>6</v>
      </c>
      <c r="AF34" s="2">
        <v>3</v>
      </c>
      <c r="AG34" s="1">
        <v>4</v>
      </c>
      <c r="AY34" s="1">
        <v>10.91</v>
      </c>
      <c r="AZ34" s="1">
        <v>21.94</v>
      </c>
      <c r="BA34" s="1">
        <v>47.3</v>
      </c>
      <c r="BB34" s="1">
        <v>1.85</v>
      </c>
      <c r="BC34" s="1">
        <v>3.77</v>
      </c>
      <c r="BD34" s="1">
        <v>14.13</v>
      </c>
      <c r="BE34" s="1">
        <v>29.67</v>
      </c>
      <c r="BF34" s="1">
        <v>130.87</v>
      </c>
    </row>
    <row r="35" spans="1:58" x14ac:dyDescent="0.55000000000000004">
      <c r="A35" s="1"/>
      <c r="B35" s="1"/>
      <c r="C35" s="1"/>
      <c r="D35" s="1"/>
      <c r="E35" s="1"/>
      <c r="F35" s="1"/>
      <c r="G35" s="1"/>
      <c r="H35" s="1"/>
      <c r="I35" s="1" t="s">
        <v>415</v>
      </c>
      <c r="J35">
        <v>3</v>
      </c>
      <c r="K35" s="1">
        <v>2</v>
      </c>
      <c r="L35" s="1">
        <v>10.1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>
        <v>8.5</v>
      </c>
      <c r="AE35" s="1">
        <v>6</v>
      </c>
      <c r="AF35" s="2">
        <v>4</v>
      </c>
      <c r="AG35" s="1">
        <v>5</v>
      </c>
      <c r="AY35" s="1">
        <v>10.35</v>
      </c>
      <c r="AZ35" s="1">
        <v>20.77</v>
      </c>
      <c r="BA35" s="1">
        <v>47.4</v>
      </c>
      <c r="BB35" s="1">
        <v>1.82</v>
      </c>
      <c r="BC35" s="1">
        <v>3.67</v>
      </c>
      <c r="BD35" s="1">
        <v>13.64</v>
      </c>
      <c r="BE35" s="1">
        <v>29.08</v>
      </c>
      <c r="BF35" s="1">
        <v>141.27000000000001</v>
      </c>
    </row>
    <row r="36" spans="1:58" x14ac:dyDescent="0.55000000000000004">
      <c r="A36" s="1"/>
      <c r="B36" s="1"/>
      <c r="C36" s="1"/>
      <c r="D36" s="1"/>
      <c r="E36" s="1"/>
      <c r="F36" s="1"/>
      <c r="G36" s="1"/>
      <c r="H36" s="1"/>
      <c r="I36" s="1" t="s">
        <v>415</v>
      </c>
      <c r="J36">
        <v>1</v>
      </c>
      <c r="K36" s="1">
        <v>3</v>
      </c>
      <c r="L36" s="1">
        <v>10.7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>
        <v>7.3</v>
      </c>
      <c r="AE36" s="1">
        <v>6</v>
      </c>
      <c r="AF36" s="2">
        <v>5</v>
      </c>
      <c r="AG36" s="1">
        <v>6</v>
      </c>
      <c r="AY36" s="1">
        <v>10.4</v>
      </c>
      <c r="AZ36" s="1">
        <v>20.92</v>
      </c>
      <c r="BA36" s="1">
        <v>46.3</v>
      </c>
      <c r="BB36" s="1">
        <v>1.82</v>
      </c>
      <c r="BC36" s="1">
        <v>3.8</v>
      </c>
      <c r="BD36" s="1">
        <v>14.64</v>
      </c>
      <c r="BE36" s="1">
        <v>31.01</v>
      </c>
      <c r="BF36" s="1">
        <v>154.1</v>
      </c>
    </row>
    <row r="37" spans="1:58" x14ac:dyDescent="0.55000000000000004">
      <c r="A37" s="1"/>
      <c r="B37" s="1"/>
      <c r="C37" s="1"/>
      <c r="D37" s="1"/>
      <c r="E37" s="1"/>
      <c r="F37" s="1"/>
      <c r="G37" s="1"/>
      <c r="H37" s="1"/>
      <c r="I37" s="1" t="s">
        <v>415</v>
      </c>
      <c r="J37">
        <v>2</v>
      </c>
      <c r="K37" s="1">
        <v>3</v>
      </c>
      <c r="L37" s="1">
        <v>10.199999999999999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>
        <v>7.7</v>
      </c>
      <c r="AE37" s="1">
        <v>6</v>
      </c>
      <c r="AF37" s="2">
        <v>6</v>
      </c>
      <c r="AG37" s="1">
        <v>3</v>
      </c>
      <c r="AY37" s="1">
        <v>11.19</v>
      </c>
      <c r="AZ37" s="1">
        <v>22.45</v>
      </c>
      <c r="BA37" s="1">
        <v>47.7</v>
      </c>
      <c r="BB37" s="1">
        <v>1.88</v>
      </c>
      <c r="BC37" s="1">
        <v>3.83</v>
      </c>
      <c r="BD37" s="1">
        <v>15.06</v>
      </c>
      <c r="BE37" s="1">
        <v>31.77</v>
      </c>
      <c r="BF37" s="1">
        <v>152.22999999999999</v>
      </c>
    </row>
    <row r="38" spans="1:58" x14ac:dyDescent="0.55000000000000004">
      <c r="A38" s="1"/>
      <c r="B38" s="1"/>
      <c r="C38" s="1"/>
      <c r="D38" s="1"/>
      <c r="E38" s="1"/>
      <c r="F38" s="1"/>
      <c r="G38" s="1"/>
      <c r="H38" s="1"/>
      <c r="I38" s="1" t="s">
        <v>415</v>
      </c>
      <c r="J38">
        <v>3</v>
      </c>
      <c r="K38" s="1">
        <v>3</v>
      </c>
      <c r="L38" s="1">
        <v>10.1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Y38" s="1">
        <v>10.42</v>
      </c>
      <c r="AZ38" s="1">
        <v>21.3</v>
      </c>
      <c r="BA38" s="1">
        <v>46.1</v>
      </c>
      <c r="BB38" s="1">
        <v>1.8</v>
      </c>
      <c r="BC38" s="1">
        <v>3.65</v>
      </c>
      <c r="BD38" s="1">
        <v>13.46</v>
      </c>
      <c r="BE38" s="1">
        <v>27.95</v>
      </c>
      <c r="BF38" s="1">
        <v>129.19999999999999</v>
      </c>
    </row>
    <row r="39" spans="1:58" x14ac:dyDescent="0.55000000000000004">
      <c r="AY39" s="1">
        <v>10.52</v>
      </c>
      <c r="AZ39" s="1">
        <v>29.95</v>
      </c>
      <c r="BA39" s="1">
        <v>45.1</v>
      </c>
      <c r="BB39" s="1">
        <v>1.74</v>
      </c>
      <c r="BC39" s="1">
        <v>3.62</v>
      </c>
      <c r="BD39" s="1">
        <v>13.36</v>
      </c>
      <c r="BE39" s="1">
        <v>27.61</v>
      </c>
      <c r="BF39" s="1">
        <v>129.02000000000001</v>
      </c>
    </row>
    <row r="40" spans="1:58" x14ac:dyDescent="0.55000000000000004">
      <c r="AY40" s="1">
        <v>10.51</v>
      </c>
      <c r="AZ40" s="1">
        <v>20.88</v>
      </c>
      <c r="BA40" s="1">
        <v>46.1</v>
      </c>
      <c r="BB40" s="1">
        <v>1.74</v>
      </c>
      <c r="BC40" s="1">
        <v>3.54</v>
      </c>
      <c r="BD40" s="1">
        <v>13.21</v>
      </c>
      <c r="BE40" s="1">
        <v>27.7</v>
      </c>
      <c r="BF40" s="1">
        <v>128.97999999999999</v>
      </c>
    </row>
    <row r="41" spans="1:58" x14ac:dyDescent="0.55000000000000004">
      <c r="AY41" s="1">
        <v>10.55</v>
      </c>
      <c r="AZ41" s="1">
        <v>21.16</v>
      </c>
      <c r="BA41" s="1">
        <v>46.71</v>
      </c>
      <c r="BB41" s="1">
        <v>1.76</v>
      </c>
      <c r="BC41" s="1">
        <v>3.62</v>
      </c>
      <c r="BD41" s="1">
        <v>13.34</v>
      </c>
      <c r="BE41" s="1">
        <v>27.69</v>
      </c>
      <c r="BF41" s="1">
        <v>131.47999999999999</v>
      </c>
    </row>
    <row r="42" spans="1:58" x14ac:dyDescent="0.55000000000000004">
      <c r="AY42" s="1">
        <v>10.96</v>
      </c>
      <c r="AZ42" s="1">
        <v>21.78</v>
      </c>
      <c r="BA42" s="1">
        <v>47.9</v>
      </c>
      <c r="BB42" s="1">
        <v>1.9</v>
      </c>
      <c r="BC42" s="1">
        <v>4.01</v>
      </c>
      <c r="BD42" s="1">
        <v>14.72</v>
      </c>
      <c r="BE42" s="1">
        <v>31.36</v>
      </c>
      <c r="BF42" s="1">
        <v>148.22</v>
      </c>
    </row>
    <row r="43" spans="1:58" x14ac:dyDescent="0.55000000000000004">
      <c r="AY43" s="1">
        <v>10.78</v>
      </c>
      <c r="AZ43" s="1">
        <v>21.64</v>
      </c>
      <c r="BA43" s="1">
        <v>46.24</v>
      </c>
      <c r="BB43" s="1">
        <v>1.81</v>
      </c>
      <c r="BC43" s="1">
        <v>3.83</v>
      </c>
      <c r="BD43" s="1">
        <v>14.74</v>
      </c>
      <c r="BE43" s="1">
        <v>30.64</v>
      </c>
      <c r="BF43" s="1">
        <v>145.27000000000001</v>
      </c>
    </row>
    <row r="44" spans="1:58" x14ac:dyDescent="0.55000000000000004">
      <c r="AY44" s="1">
        <v>10.16</v>
      </c>
      <c r="AZ44" s="1">
        <v>20.239999999999998</v>
      </c>
      <c r="BA44" s="1">
        <v>45.36</v>
      </c>
      <c r="BB44" s="1">
        <v>1.76</v>
      </c>
      <c r="BC44" s="1">
        <v>3.6</v>
      </c>
      <c r="BD44" s="1">
        <v>13.29</v>
      </c>
      <c r="BE44" s="1">
        <v>27.89</v>
      </c>
      <c r="BF44" s="1">
        <v>131.58000000000001</v>
      </c>
    </row>
    <row r="45" spans="1:58" x14ac:dyDescent="0.55000000000000004">
      <c r="AY45" s="1">
        <v>10.53</v>
      </c>
      <c r="AZ45" s="1">
        <v>21.17</v>
      </c>
      <c r="BA45" s="1">
        <v>46.7</v>
      </c>
      <c r="BB45" s="1">
        <v>1.79</v>
      </c>
      <c r="BC45" s="1">
        <v>3.62</v>
      </c>
      <c r="BD45" s="1">
        <v>13.13</v>
      </c>
      <c r="BE45" s="1">
        <v>27.38</v>
      </c>
      <c r="BF45" s="1">
        <v>128.65</v>
      </c>
    </row>
    <row r="46" spans="1:58" x14ac:dyDescent="0.55000000000000004">
      <c r="AY46" s="1">
        <v>10.41</v>
      </c>
      <c r="AZ46" s="1">
        <v>20.98</v>
      </c>
      <c r="BA46" s="1">
        <v>45.87</v>
      </c>
      <c r="BB46" s="1">
        <v>1.76</v>
      </c>
      <c r="BC46" s="1">
        <v>3.64</v>
      </c>
      <c r="BD46" s="1">
        <v>13.25</v>
      </c>
      <c r="BE46" s="1">
        <v>27.67</v>
      </c>
      <c r="BF46" s="1">
        <v>132.5</v>
      </c>
    </row>
    <row r="47" spans="1:58" x14ac:dyDescent="0.55000000000000004">
      <c r="AY47" s="1">
        <v>10.38</v>
      </c>
      <c r="AZ47" s="1">
        <v>21.28</v>
      </c>
      <c r="BA47" s="1">
        <v>47.4</v>
      </c>
      <c r="BB47" s="1">
        <v>1.88</v>
      </c>
      <c r="BC47" s="1">
        <v>3.89</v>
      </c>
      <c r="BD47" s="1">
        <v>15.11</v>
      </c>
      <c r="BE47" s="1">
        <v>31.32</v>
      </c>
      <c r="BF47" s="1">
        <v>157.77000000000001</v>
      </c>
    </row>
    <row r="48" spans="1:58" x14ac:dyDescent="0.55000000000000004">
      <c r="AY48" s="1">
        <v>10.42</v>
      </c>
      <c r="AZ48" s="1">
        <v>20.77</v>
      </c>
      <c r="BA48" s="1">
        <v>45.98</v>
      </c>
      <c r="BB48" s="1">
        <v>1.76</v>
      </c>
      <c r="BC48" s="1">
        <v>3.55</v>
      </c>
      <c r="BD48" s="1">
        <v>13.31</v>
      </c>
      <c r="BE48" s="1">
        <v>27.73</v>
      </c>
      <c r="BF48" s="1">
        <v>131.57</v>
      </c>
    </row>
    <row r="49" spans="51:58" x14ac:dyDescent="0.55000000000000004">
      <c r="AY49" s="1">
        <v>10.25</v>
      </c>
      <c r="AZ49" s="1">
        <v>20.61</v>
      </c>
      <c r="BA49" s="1">
        <v>45.63</v>
      </c>
      <c r="BB49" s="1">
        <v>1.77</v>
      </c>
      <c r="BC49" s="1">
        <v>3.61</v>
      </c>
      <c r="BD49" s="1">
        <v>13.29</v>
      </c>
      <c r="BE49" s="1">
        <v>27.94</v>
      </c>
      <c r="BF49" s="1">
        <v>130.63</v>
      </c>
    </row>
    <row r="50" spans="51:58" x14ac:dyDescent="0.55000000000000004">
      <c r="AY50" s="1">
        <v>10.37</v>
      </c>
      <c r="AZ50" s="1">
        <v>20.45</v>
      </c>
      <c r="BA50" s="1">
        <v>45.78</v>
      </c>
      <c r="BB50" s="1">
        <v>1.78</v>
      </c>
      <c r="BC50" s="1">
        <v>3.55</v>
      </c>
      <c r="BD50" s="1">
        <v>13.22</v>
      </c>
      <c r="BE50" s="1">
        <v>27.91</v>
      </c>
      <c r="BF50" s="1">
        <v>131.19999999999999</v>
      </c>
    </row>
    <row r="51" spans="51:58" x14ac:dyDescent="0.55000000000000004">
      <c r="AY51" s="1">
        <v>10.59</v>
      </c>
      <c r="AZ51" s="1">
        <v>21.29</v>
      </c>
      <c r="BA51" s="1">
        <v>46.8</v>
      </c>
      <c r="BB51" s="1">
        <v>1.79</v>
      </c>
      <c r="BC51" s="1">
        <v>3.77</v>
      </c>
      <c r="BD51" s="1">
        <v>14.07</v>
      </c>
      <c r="BE51" s="1">
        <v>30.07</v>
      </c>
      <c r="BF51" s="1">
        <v>139.27000000000001</v>
      </c>
    </row>
    <row r="52" spans="51:58" x14ac:dyDescent="0.55000000000000004">
      <c r="AY52" s="1">
        <v>10.39</v>
      </c>
      <c r="AZ52" s="1">
        <v>21.09</v>
      </c>
      <c r="BA52" s="1">
        <v>47.91</v>
      </c>
      <c r="BB52" s="1">
        <v>1.83</v>
      </c>
      <c r="BC52" s="1">
        <v>3.84</v>
      </c>
      <c r="BD52" s="1">
        <v>15.23</v>
      </c>
      <c r="BE52" s="1">
        <v>32.56</v>
      </c>
      <c r="BF52" s="1">
        <v>149.9</v>
      </c>
    </row>
    <row r="53" spans="51:58" x14ac:dyDescent="0.55000000000000004">
      <c r="AY53" s="1">
        <v>10.71</v>
      </c>
      <c r="AZ53" s="1">
        <v>21.43</v>
      </c>
      <c r="BA53" s="1">
        <v>47.6</v>
      </c>
      <c r="BB53" s="1">
        <v>1.79</v>
      </c>
      <c r="BC53" s="1">
        <v>3.67</v>
      </c>
      <c r="BD53" s="1">
        <v>13.56</v>
      </c>
      <c r="BE53" s="1">
        <v>28.58</v>
      </c>
      <c r="BF53" s="1">
        <v>131.5</v>
      </c>
    </row>
    <row r="54" spans="51:58" x14ac:dyDescent="0.55000000000000004">
      <c r="AY54" s="1">
        <v>9.93</v>
      </c>
      <c r="AZ54" s="1">
        <v>19.75</v>
      </c>
      <c r="BA54" s="1">
        <v>43.86</v>
      </c>
      <c r="BB54" s="1">
        <v>1.73</v>
      </c>
      <c r="BC54" s="1">
        <v>3.53</v>
      </c>
      <c r="BD54" s="1">
        <v>13.2</v>
      </c>
      <c r="BE54" s="1">
        <v>27.43</v>
      </c>
      <c r="BF54" s="1">
        <v>128.22</v>
      </c>
    </row>
    <row r="55" spans="51:58" x14ac:dyDescent="0.55000000000000004">
      <c r="AY55" s="1">
        <v>10.07</v>
      </c>
      <c r="AZ55" s="1">
        <v>20</v>
      </c>
      <c r="BA55" s="1">
        <v>44.6</v>
      </c>
      <c r="BB55" s="1">
        <v>1.75</v>
      </c>
      <c r="BC55" s="1">
        <v>3.59</v>
      </c>
      <c r="BD55" s="1">
        <v>13.2</v>
      </c>
      <c r="BE55" s="1">
        <v>27.53</v>
      </c>
      <c r="BF55" s="1">
        <v>130.55000000000001</v>
      </c>
    </row>
    <row r="56" spans="51:58" x14ac:dyDescent="0.55000000000000004">
      <c r="AY56" s="1">
        <v>10.82</v>
      </c>
      <c r="AZ56" s="1">
        <v>21.86</v>
      </c>
      <c r="BA56" s="1">
        <v>49</v>
      </c>
      <c r="BB56" s="1">
        <v>2.02</v>
      </c>
      <c r="BC56" s="1">
        <v>4.24</v>
      </c>
      <c r="BD56" s="1">
        <v>16.28</v>
      </c>
      <c r="BE56" s="1">
        <v>34.71</v>
      </c>
      <c r="BF56" s="1">
        <v>161.83000000000001</v>
      </c>
    </row>
  </sheetData>
  <printOptions gridLines="1"/>
  <pageMargins left="0.75" right="0.75" top="1" bottom="1" header="0" footer="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H283"/>
  <sheetViews>
    <sheetView workbookViewId="0"/>
  </sheetViews>
  <sheetFormatPr defaultColWidth="10.44140625" defaultRowHeight="14.4" x14ac:dyDescent="0.55000000000000004"/>
  <cols>
    <col min="1" max="1" width="10.71875" style="1" bestFit="1" customWidth="1"/>
    <col min="2" max="7" width="11.71875" style="1" bestFit="1" customWidth="1"/>
    <col min="8" max="8" width="5" style="2" bestFit="1" customWidth="1"/>
    <col min="9" max="9" width="12.83203125" style="2" bestFit="1" customWidth="1"/>
    <col min="10" max="10" width="8.5546875" style="2" bestFit="1" customWidth="1"/>
    <col min="11" max="11" width="7.83203125" style="2" bestFit="1" customWidth="1"/>
    <col min="12" max="12" width="7.71875" style="2" bestFit="1" customWidth="1"/>
    <col min="13" max="13" width="12.1640625" style="1" bestFit="1" customWidth="1"/>
    <col min="14" max="14" width="10.44140625" style="1" bestFit="1" customWidth="1"/>
    <col min="15" max="15" width="3" style="1" bestFit="1" customWidth="1"/>
    <col min="16" max="16" width="5" style="1" bestFit="1" customWidth="1"/>
    <col min="17" max="17" width="3" style="1" bestFit="1" customWidth="1"/>
    <col min="18" max="18" width="12.71875" style="1" bestFit="1" customWidth="1"/>
    <col min="19" max="21" width="8.71875" style="1" bestFit="1" customWidth="1"/>
    <col min="22" max="22" width="10.44140625" style="1" bestFit="1" customWidth="1"/>
    <col min="23" max="27" width="6.44140625" style="1" bestFit="1" customWidth="1"/>
    <col min="28" max="28" width="10.83203125" style="1" bestFit="1" customWidth="1"/>
    <col min="29" max="31" width="6.83203125" style="1" bestFit="1" customWidth="1"/>
    <col min="32" max="32" width="10.27734375" style="1" bestFit="1" customWidth="1"/>
    <col min="33" max="33" width="12.83203125" style="1" bestFit="1" customWidth="1"/>
    <col min="34" max="34" width="6" style="1" bestFit="1" customWidth="1"/>
    <col min="35" max="35" width="5" style="1" bestFit="1" customWidth="1"/>
    <col min="36" max="36" width="9.27734375" style="1" bestFit="1" customWidth="1"/>
    <col min="37" max="37" width="6" style="1" bestFit="1" customWidth="1"/>
    <col min="38" max="38" width="6.83203125" style="1" bestFit="1" customWidth="1"/>
    <col min="39" max="39" width="7.5546875" style="1" bestFit="1" customWidth="1"/>
    <col min="40" max="40" width="6.83203125" style="1" bestFit="1" customWidth="1"/>
    <col min="41" max="41" width="6.27734375" style="1" bestFit="1" customWidth="1"/>
    <col min="42" max="42" width="22.1640625" style="1" bestFit="1" customWidth="1"/>
    <col min="43" max="43" width="16.44140625" style="2" bestFit="1" customWidth="1"/>
    <col min="44" max="44" width="11" style="1" bestFit="1" customWidth="1"/>
    <col min="45" max="45" width="8.5546875" style="1" bestFit="1" customWidth="1"/>
    <col min="46" max="46" width="9.27734375" style="1" bestFit="1" customWidth="1"/>
    <col min="47" max="47" width="8.44140625" style="1" bestFit="1" customWidth="1"/>
    <col min="48" max="48" width="6.5546875" style="1" bestFit="1" customWidth="1"/>
    <col min="49" max="49" width="5.44140625" style="1" bestFit="1" customWidth="1"/>
    <col min="50" max="50" width="9.1640625" style="1" bestFit="1" customWidth="1"/>
    <col min="51" max="51" width="11.71875" style="1" bestFit="1" customWidth="1"/>
    <col min="52" max="52" width="17.5546875" style="2" bestFit="1" customWidth="1"/>
    <col min="53" max="53" width="16.44140625" style="2" bestFit="1" customWidth="1"/>
    <col min="54" max="54" width="17.5546875" style="2" bestFit="1" customWidth="1"/>
    <col min="55" max="55" width="16.44140625" style="2" bestFit="1" customWidth="1"/>
    <col min="56" max="56" width="16" style="2" bestFit="1" customWidth="1"/>
    <col min="57" max="57" width="15" style="2" bestFit="1" customWidth="1"/>
    <col min="58" max="58" width="9.71875" style="1" bestFit="1" customWidth="1"/>
    <col min="59" max="59" width="7" style="2" bestFit="1" customWidth="1"/>
    <col min="60" max="60" width="5.83203125" style="2" bestFit="1" customWidth="1"/>
    <col min="61" max="61" width="4.5546875" style="2" bestFit="1" customWidth="1"/>
    <col min="62" max="62" width="4.71875" style="2" bestFit="1" customWidth="1"/>
    <col min="63" max="63" width="7.27734375" style="2" bestFit="1" customWidth="1"/>
    <col min="64" max="64" width="4.44140625" style="2" bestFit="1" customWidth="1"/>
    <col min="65" max="65" width="3.27734375" style="2" bestFit="1" customWidth="1"/>
    <col min="66" max="66" width="2.83203125" style="2" bestFit="1" customWidth="1"/>
    <col min="67" max="67" width="6.1640625" style="2" bestFit="1" customWidth="1"/>
    <col min="68" max="68" width="8.5546875" style="2" bestFit="1" customWidth="1"/>
    <col min="69" max="69" width="9" style="2" bestFit="1" customWidth="1"/>
    <col min="70" max="70" width="7.33203125" style="2" bestFit="1" customWidth="1"/>
    <col min="71" max="71" width="13.1640625" style="2" bestFit="1" customWidth="1"/>
    <col min="72" max="72" width="9" style="2" bestFit="1" customWidth="1"/>
    <col min="73" max="73" width="10" style="2" bestFit="1" customWidth="1"/>
    <col min="74" max="74" width="9" style="2" bestFit="1" customWidth="1"/>
    <col min="75" max="83" width="16.71875" style="2" bestFit="1" customWidth="1"/>
    <col min="84" max="84" width="15" style="2" bestFit="1" customWidth="1"/>
    <col min="85" max="85" width="15.44140625" style="2" bestFit="1" customWidth="1"/>
    <col min="86" max="86" width="14.94140625" style="2" bestFit="1" customWidth="1"/>
    <col min="87" max="16384" width="10.44140625" style="2"/>
  </cols>
  <sheetData>
    <row r="1" spans="1:86" x14ac:dyDescent="0.55000000000000004">
      <c r="A1" s="1" t="s">
        <v>238</v>
      </c>
      <c r="B1" s="1" t="s">
        <v>17</v>
      </c>
      <c r="C1" s="1" t="s">
        <v>63</v>
      </c>
      <c r="D1" s="1" t="s">
        <v>427</v>
      </c>
      <c r="E1" s="1" t="s">
        <v>482</v>
      </c>
      <c r="F1" s="1" t="s">
        <v>308</v>
      </c>
      <c r="G1" s="1" t="s">
        <v>364</v>
      </c>
      <c r="H1" s="1" t="s">
        <v>288</v>
      </c>
      <c r="I1" s="1" t="s">
        <v>340</v>
      </c>
      <c r="J1" s="1" t="s">
        <v>283</v>
      </c>
      <c r="K1" s="1" t="s">
        <v>346</v>
      </c>
      <c r="L1" s="1" t="s">
        <v>399</v>
      </c>
      <c r="M1" s="1" t="s">
        <v>408</v>
      </c>
      <c r="N1" s="1" t="s">
        <v>189</v>
      </c>
      <c r="O1" s="1" t="s">
        <v>351</v>
      </c>
      <c r="P1" s="1" t="s">
        <v>445</v>
      </c>
      <c r="Q1" s="1" t="s">
        <v>333</v>
      </c>
      <c r="R1" s="1" t="s">
        <v>213</v>
      </c>
      <c r="S1" s="1" t="s">
        <v>512</v>
      </c>
      <c r="T1" s="1" t="s">
        <v>457</v>
      </c>
      <c r="U1" s="1" t="s">
        <v>393</v>
      </c>
      <c r="V1" s="1" t="s">
        <v>230</v>
      </c>
      <c r="W1" s="1" t="s">
        <v>300</v>
      </c>
      <c r="X1" s="1" t="s">
        <v>79</v>
      </c>
      <c r="Y1" s="1" t="s">
        <v>172</v>
      </c>
      <c r="Z1" s="1" t="s">
        <v>502</v>
      </c>
      <c r="AA1" s="1" t="s">
        <v>73</v>
      </c>
      <c r="AB1" s="1" t="s">
        <v>284</v>
      </c>
      <c r="AC1" s="1" t="s">
        <v>360</v>
      </c>
      <c r="AD1" s="1" t="s">
        <v>122</v>
      </c>
      <c r="AE1" s="1" t="s">
        <v>229</v>
      </c>
      <c r="AF1" s="1" t="s">
        <v>47</v>
      </c>
      <c r="AG1" s="1" t="s">
        <v>485</v>
      </c>
      <c r="AH1" s="1" t="s">
        <v>89</v>
      </c>
      <c r="AI1" s="1" t="s">
        <v>490</v>
      </c>
      <c r="AJ1" s="1" t="s">
        <v>418</v>
      </c>
      <c r="AK1" s="2" t="s">
        <v>211</v>
      </c>
      <c r="AL1" s="2" t="s">
        <v>34</v>
      </c>
      <c r="AM1" s="2" t="s">
        <v>140</v>
      </c>
      <c r="AN1" s="2" t="s">
        <v>188</v>
      </c>
      <c r="AO1" s="2" t="s">
        <v>226</v>
      </c>
      <c r="AP1" s="1" t="s">
        <v>21</v>
      </c>
      <c r="AQ1" s="2" t="s">
        <v>113</v>
      </c>
      <c r="AR1" s="1" t="s">
        <v>175</v>
      </c>
      <c r="AS1" s="1" t="s">
        <v>302</v>
      </c>
      <c r="AT1" s="1" t="s">
        <v>298</v>
      </c>
      <c r="AU1" s="1" t="s">
        <v>195</v>
      </c>
      <c r="AV1" s="1" t="s">
        <v>295</v>
      </c>
      <c r="AW1" s="1" t="s">
        <v>71</v>
      </c>
      <c r="AX1" s="1" t="s">
        <v>411</v>
      </c>
      <c r="AY1" s="1" t="s">
        <v>475</v>
      </c>
      <c r="AZ1" s="1" t="s">
        <v>319</v>
      </c>
      <c r="BA1" s="2" t="s">
        <v>423</v>
      </c>
      <c r="BB1" s="2" t="s">
        <v>454</v>
      </c>
      <c r="BC1" s="2" t="s">
        <v>348</v>
      </c>
      <c r="BD1" s="2" t="s">
        <v>394</v>
      </c>
      <c r="BE1" s="2" t="s">
        <v>164</v>
      </c>
      <c r="BF1" s="1" t="s">
        <v>179</v>
      </c>
      <c r="BG1" s="2" t="s">
        <v>289</v>
      </c>
      <c r="BH1" s="2" t="s">
        <v>110</v>
      </c>
      <c r="BI1" s="2" t="s">
        <v>404</v>
      </c>
      <c r="BJ1" s="2" t="s">
        <v>400</v>
      </c>
      <c r="BK1" s="2" t="s">
        <v>159</v>
      </c>
      <c r="BL1" s="2" t="s">
        <v>281</v>
      </c>
      <c r="BM1" s="2" t="s">
        <v>381</v>
      </c>
      <c r="BN1" s="2" t="s">
        <v>461</v>
      </c>
      <c r="BO1" s="2" t="s">
        <v>313</v>
      </c>
      <c r="BP1" s="2" t="s">
        <v>248</v>
      </c>
      <c r="BQ1" s="2" t="s">
        <v>70</v>
      </c>
      <c r="BR1" s="2" t="s">
        <v>525</v>
      </c>
      <c r="BS1" s="2" t="s">
        <v>26</v>
      </c>
      <c r="BT1" s="2" t="s">
        <v>187</v>
      </c>
      <c r="BU1" s="2" t="s">
        <v>387</v>
      </c>
      <c r="BV1" s="2" t="s">
        <v>187</v>
      </c>
      <c r="BW1" s="2" t="s">
        <v>41</v>
      </c>
      <c r="BX1" s="2" t="s">
        <v>362</v>
      </c>
      <c r="BY1" s="2" t="s">
        <v>91</v>
      </c>
      <c r="BZ1" s="2" t="s">
        <v>419</v>
      </c>
      <c r="CA1" s="2" t="s">
        <v>395</v>
      </c>
      <c r="CB1" s="2" t="s">
        <v>154</v>
      </c>
      <c r="CC1" s="2" t="s">
        <v>125</v>
      </c>
      <c r="CD1" s="2" t="s">
        <v>455</v>
      </c>
      <c r="CE1" s="2" t="s">
        <v>194</v>
      </c>
      <c r="CF1" s="2" t="s">
        <v>448</v>
      </c>
      <c r="CG1" s="5" t="s">
        <v>519</v>
      </c>
      <c r="CH1" s="5" t="s">
        <v>518</v>
      </c>
    </row>
    <row r="2" spans="1:86" x14ac:dyDescent="0.55000000000000004">
      <c r="A2" s="1">
        <v>60323</v>
      </c>
      <c r="B2" s="1">
        <v>83</v>
      </c>
      <c r="C2" s="1">
        <v>234289</v>
      </c>
      <c r="D2" s="1">
        <v>2356</v>
      </c>
      <c r="E2" s="1">
        <v>1590</v>
      </c>
      <c r="F2" s="1">
        <v>107608</v>
      </c>
      <c r="G2" s="1">
        <v>1947</v>
      </c>
      <c r="H2" s="1">
        <v>60</v>
      </c>
      <c r="I2" s="1">
        <v>5</v>
      </c>
      <c r="J2" s="1">
        <v>0</v>
      </c>
      <c r="K2" s="1">
        <v>0</v>
      </c>
      <c r="L2" s="1">
        <v>0</v>
      </c>
      <c r="M2" s="1">
        <v>72</v>
      </c>
      <c r="N2" s="1">
        <v>68</v>
      </c>
      <c r="O2" s="1">
        <v>7</v>
      </c>
      <c r="P2" s="1">
        <v>2.2599999999999998</v>
      </c>
      <c r="Q2" s="1">
        <v>66</v>
      </c>
      <c r="R2" s="1">
        <v>0.54400000000000004</v>
      </c>
      <c r="S2" s="1">
        <v>0</v>
      </c>
      <c r="T2" s="1">
        <v>1.5</v>
      </c>
      <c r="U2" s="1">
        <v>2</v>
      </c>
      <c r="V2" s="1">
        <v>0.39800000000000002</v>
      </c>
      <c r="W2" s="1">
        <v>0</v>
      </c>
      <c r="X2" s="1">
        <v>1</v>
      </c>
      <c r="Y2" s="1">
        <v>1.5</v>
      </c>
      <c r="Z2" s="1">
        <v>3</v>
      </c>
      <c r="AA2" s="1">
        <v>3.5</v>
      </c>
      <c r="AB2" s="1">
        <v>0.39800000000000002</v>
      </c>
      <c r="AC2" s="1">
        <v>2.75</v>
      </c>
      <c r="AD2" s="1">
        <v>2.5</v>
      </c>
      <c r="AE2" s="1">
        <v>3.75</v>
      </c>
      <c r="AF2" s="1">
        <v>1290</v>
      </c>
      <c r="AG2" s="1">
        <v>1182</v>
      </c>
      <c r="AH2" s="1">
        <v>9.2100000000000009</v>
      </c>
      <c r="AI2" s="1">
        <v>376</v>
      </c>
      <c r="AJ2" s="1">
        <v>0</v>
      </c>
      <c r="AK2" s="2">
        <v>5.9349999999999996</v>
      </c>
      <c r="AL2" s="2">
        <v>14.2</v>
      </c>
      <c r="AM2" s="2">
        <v>2.2650000000000001</v>
      </c>
      <c r="AN2" s="2">
        <v>2.27</v>
      </c>
      <c r="AO2" s="2">
        <v>2.91</v>
      </c>
      <c r="AP2" s="1">
        <v>0.15</v>
      </c>
      <c r="AQ2" s="2">
        <v>3</v>
      </c>
      <c r="AR2" s="1">
        <v>0</v>
      </c>
      <c r="AS2" s="1">
        <v>1</v>
      </c>
      <c r="AT2" s="1">
        <v>4</v>
      </c>
      <c r="AU2" s="1">
        <v>10</v>
      </c>
      <c r="AV2" s="1">
        <v>11</v>
      </c>
      <c r="AW2" s="1">
        <v>479</v>
      </c>
      <c r="AX2" s="1">
        <v>0</v>
      </c>
      <c r="AY2" s="1">
        <v>0</v>
      </c>
      <c r="AZ2" s="2">
        <v>39</v>
      </c>
      <c r="BA2" s="2">
        <v>4.62</v>
      </c>
      <c r="BB2" s="2">
        <v>29</v>
      </c>
      <c r="BC2" s="2">
        <v>5.21</v>
      </c>
      <c r="BD2" s="2">
        <v>27</v>
      </c>
      <c r="BE2" s="2">
        <v>5.29</v>
      </c>
      <c r="BF2" s="1">
        <v>14</v>
      </c>
      <c r="BG2" s="2">
        <v>1</v>
      </c>
      <c r="BH2" s="2">
        <v>0</v>
      </c>
      <c r="BI2" s="2">
        <v>14</v>
      </c>
      <c r="BJ2" s="2">
        <v>135</v>
      </c>
      <c r="BK2" s="2">
        <v>0</v>
      </c>
      <c r="BL2" s="2">
        <v>0</v>
      </c>
      <c r="BM2" s="2">
        <v>0</v>
      </c>
      <c r="BN2" s="2">
        <v>0</v>
      </c>
      <c r="BO2" s="2" t="s">
        <v>241</v>
      </c>
      <c r="BP2" s="2">
        <v>0</v>
      </c>
      <c r="BQ2" s="2">
        <v>1</v>
      </c>
      <c r="BR2" s="2">
        <v>6</v>
      </c>
      <c r="BS2" s="2">
        <v>60840</v>
      </c>
      <c r="BT2" s="2">
        <v>1</v>
      </c>
      <c r="BU2" s="2" t="s">
        <v>328</v>
      </c>
      <c r="BV2" s="2">
        <v>1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5">
        <v>0.82</v>
      </c>
      <c r="CH2" s="5">
        <v>0.79</v>
      </c>
    </row>
    <row r="3" spans="1:86" x14ac:dyDescent="0.55000000000000004">
      <c r="A3" s="1">
        <v>61122</v>
      </c>
      <c r="B3" s="1">
        <v>88.5</v>
      </c>
      <c r="C3" s="1">
        <v>259426</v>
      </c>
      <c r="D3" s="1">
        <v>2325</v>
      </c>
      <c r="E3" s="1">
        <v>1456</v>
      </c>
      <c r="F3" s="1">
        <v>108632</v>
      </c>
      <c r="G3" s="1">
        <v>1948</v>
      </c>
      <c r="H3" s="1">
        <v>17</v>
      </c>
      <c r="I3" s="1">
        <v>2</v>
      </c>
      <c r="J3" s="1">
        <v>1</v>
      </c>
      <c r="K3" s="1">
        <v>0</v>
      </c>
      <c r="L3" s="1">
        <v>0</v>
      </c>
      <c r="M3" s="1">
        <v>112</v>
      </c>
      <c r="N3" s="1">
        <v>63</v>
      </c>
      <c r="O3" s="1">
        <v>10</v>
      </c>
      <c r="P3" s="1">
        <v>1.81</v>
      </c>
      <c r="Q3" s="1">
        <v>52</v>
      </c>
      <c r="R3" s="1">
        <v>0.84499999999999997</v>
      </c>
      <c r="S3" s="1">
        <v>0</v>
      </c>
      <c r="T3" s="1">
        <v>2.5</v>
      </c>
      <c r="U3" s="1">
        <v>2.5</v>
      </c>
      <c r="V3" s="1">
        <v>0.69899999999999995</v>
      </c>
      <c r="W3" s="1">
        <v>1</v>
      </c>
      <c r="X3" s="1">
        <v>1.5</v>
      </c>
      <c r="Y3" s="1">
        <v>1</v>
      </c>
      <c r="Z3" s="1">
        <v>3</v>
      </c>
      <c r="AA3" s="1">
        <v>3.5</v>
      </c>
      <c r="AB3" s="1">
        <v>0.69899999999999995</v>
      </c>
      <c r="AC3" s="1">
        <v>2</v>
      </c>
      <c r="AD3" s="1">
        <v>2.75</v>
      </c>
      <c r="AE3" s="1">
        <v>5.25</v>
      </c>
      <c r="AF3" s="1">
        <v>1350</v>
      </c>
      <c r="AG3" s="1">
        <v>1172</v>
      </c>
      <c r="AH3" s="1">
        <v>10.210000000000001</v>
      </c>
      <c r="AI3" s="1">
        <v>200</v>
      </c>
      <c r="AJ3" s="1">
        <v>0</v>
      </c>
      <c r="AK3" s="2">
        <v>1.5229999999999999</v>
      </c>
      <c r="AL3" s="2">
        <v>13.1</v>
      </c>
      <c r="AM3" s="2">
        <v>0.59699999999999998</v>
      </c>
      <c r="AN3" s="2">
        <v>0.75</v>
      </c>
      <c r="AO3" s="2">
        <v>2.62</v>
      </c>
      <c r="AP3" s="1">
        <v>0.16</v>
      </c>
      <c r="AQ3" s="2">
        <v>3</v>
      </c>
      <c r="AR3" s="1">
        <v>0</v>
      </c>
      <c r="AS3" s="1">
        <v>0</v>
      </c>
      <c r="AT3" s="1">
        <v>18</v>
      </c>
      <c r="AU3" s="1">
        <v>3</v>
      </c>
      <c r="AV3" s="1">
        <v>16</v>
      </c>
      <c r="AW3" s="1">
        <v>431</v>
      </c>
      <c r="AX3" s="1">
        <v>0</v>
      </c>
      <c r="AY3" s="1">
        <v>1</v>
      </c>
      <c r="AZ3" s="2">
        <v>40</v>
      </c>
      <c r="BA3" s="2">
        <v>5.29</v>
      </c>
      <c r="BB3" s="2">
        <v>29</v>
      </c>
      <c r="BC3" s="2">
        <v>5.17</v>
      </c>
      <c r="BD3" s="2">
        <v>25</v>
      </c>
      <c r="BE3" s="2">
        <v>3.67</v>
      </c>
      <c r="BF3" s="1">
        <v>17</v>
      </c>
      <c r="BG3" s="2">
        <v>1</v>
      </c>
      <c r="BH3" s="2">
        <v>1</v>
      </c>
      <c r="BI3" s="2">
        <v>14</v>
      </c>
      <c r="BJ3" s="2">
        <v>101</v>
      </c>
      <c r="BK3" s="2">
        <v>1</v>
      </c>
      <c r="BL3" s="2">
        <v>1</v>
      </c>
      <c r="BM3" s="2">
        <v>0</v>
      </c>
      <c r="BN3" s="2">
        <v>0</v>
      </c>
      <c r="BO3" s="2" t="s">
        <v>499</v>
      </c>
      <c r="BP3" s="2">
        <v>0</v>
      </c>
      <c r="BQ3" s="2">
        <v>0</v>
      </c>
      <c r="BR3" s="2">
        <v>21</v>
      </c>
      <c r="BS3" s="2">
        <v>157175</v>
      </c>
      <c r="BT3" s="2">
        <v>1</v>
      </c>
      <c r="BU3" s="2" t="s">
        <v>402</v>
      </c>
      <c r="BV3" s="2">
        <v>1</v>
      </c>
      <c r="BW3" s="2">
        <v>1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5">
        <v>1.83</v>
      </c>
      <c r="CH3" s="5">
        <v>1.62</v>
      </c>
    </row>
    <row r="4" spans="1:86" x14ac:dyDescent="0.55000000000000004">
      <c r="A4" s="1">
        <v>60171</v>
      </c>
      <c r="B4" s="1">
        <v>88.2</v>
      </c>
      <c r="C4" s="1">
        <v>258054</v>
      </c>
      <c r="D4" s="1">
        <v>3682</v>
      </c>
      <c r="E4" s="1">
        <v>1616</v>
      </c>
      <c r="F4" s="1">
        <v>109773</v>
      </c>
      <c r="G4" s="1">
        <v>1949</v>
      </c>
      <c r="H4" s="1">
        <v>8</v>
      </c>
      <c r="I4" s="1">
        <v>1</v>
      </c>
      <c r="J4" s="1">
        <v>0</v>
      </c>
      <c r="K4" s="1">
        <v>1</v>
      </c>
      <c r="L4" s="1">
        <v>0</v>
      </c>
      <c r="M4" s="1">
        <v>111</v>
      </c>
      <c r="N4" s="1">
        <v>66</v>
      </c>
      <c r="O4" s="1">
        <v>18</v>
      </c>
      <c r="P4" s="1">
        <v>1.78</v>
      </c>
      <c r="Q4" s="1">
        <v>72</v>
      </c>
      <c r="R4" s="1">
        <v>1.1459999999999999</v>
      </c>
      <c r="S4" s="1">
        <v>1</v>
      </c>
      <c r="T4" s="1">
        <v>5</v>
      </c>
      <c r="U4" s="1">
        <v>5</v>
      </c>
      <c r="V4" s="1">
        <v>1</v>
      </c>
      <c r="W4" s="1">
        <v>0</v>
      </c>
      <c r="X4" s="1">
        <v>1.5</v>
      </c>
      <c r="Y4" s="1">
        <v>2</v>
      </c>
      <c r="Z4" s="1">
        <v>5.5</v>
      </c>
      <c r="AA4" s="1">
        <v>4.5</v>
      </c>
      <c r="AB4" s="1">
        <v>1</v>
      </c>
      <c r="AC4" s="1">
        <v>1.25</v>
      </c>
      <c r="AD4" s="1">
        <v>2.25</v>
      </c>
      <c r="AE4" s="1">
        <v>6</v>
      </c>
      <c r="AF4" s="1">
        <v>1470</v>
      </c>
      <c r="AG4" s="1">
        <v>1264</v>
      </c>
      <c r="AH4" s="1">
        <v>10.58</v>
      </c>
      <c r="AI4" s="1">
        <v>93</v>
      </c>
      <c r="AJ4" s="1">
        <v>0</v>
      </c>
      <c r="AK4" s="2">
        <v>2.5990000000000002</v>
      </c>
      <c r="AL4" s="2">
        <v>12.7</v>
      </c>
      <c r="AM4" s="2">
        <v>1.2370000000000001</v>
      </c>
      <c r="AN4" s="2">
        <v>1.1100000000000001</v>
      </c>
      <c r="AO4" s="2">
        <v>1.72</v>
      </c>
      <c r="AP4" s="1">
        <v>0.2</v>
      </c>
      <c r="AQ4" s="2">
        <v>3</v>
      </c>
      <c r="AR4" s="1">
        <v>0</v>
      </c>
      <c r="AS4" s="1">
        <v>1</v>
      </c>
      <c r="AT4" s="1">
        <v>5</v>
      </c>
      <c r="AU4" s="1">
        <v>27</v>
      </c>
      <c r="AV4" s="1">
        <v>14</v>
      </c>
      <c r="AW4" s="1">
        <v>391</v>
      </c>
      <c r="AX4" s="1">
        <v>0</v>
      </c>
      <c r="AY4" s="1">
        <v>2</v>
      </c>
      <c r="AZ4" s="2">
        <v>41</v>
      </c>
      <c r="BA4" s="2">
        <v>5.52</v>
      </c>
      <c r="BB4" s="2">
        <v>33</v>
      </c>
      <c r="BC4" s="2">
        <v>4.88</v>
      </c>
      <c r="BD4" s="2">
        <v>24</v>
      </c>
      <c r="BE4" s="2">
        <v>5.82</v>
      </c>
      <c r="BF4" s="1">
        <v>20</v>
      </c>
      <c r="BG4" s="2">
        <v>2</v>
      </c>
      <c r="BH4" s="2">
        <v>0</v>
      </c>
      <c r="BI4" s="2">
        <v>15</v>
      </c>
      <c r="BJ4" s="2">
        <v>98</v>
      </c>
      <c r="BK4" s="2">
        <v>0</v>
      </c>
      <c r="BL4" s="2">
        <v>0</v>
      </c>
      <c r="BM4" s="2">
        <v>0</v>
      </c>
      <c r="BN4" s="2">
        <v>0</v>
      </c>
      <c r="BO4" s="2" t="s">
        <v>210</v>
      </c>
      <c r="BP4" s="2">
        <v>1</v>
      </c>
      <c r="BQ4" s="2">
        <v>0</v>
      </c>
      <c r="BR4" s="2">
        <v>54</v>
      </c>
      <c r="BS4" s="2">
        <v>176134</v>
      </c>
      <c r="BT4" s="2">
        <v>1</v>
      </c>
      <c r="BU4" s="2" t="s">
        <v>198</v>
      </c>
      <c r="BV4" s="2">
        <v>1</v>
      </c>
      <c r="BW4" s="2">
        <v>0</v>
      </c>
      <c r="BX4" s="2">
        <v>1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5">
        <v>1.39</v>
      </c>
      <c r="CH4" s="5">
        <v>1.36</v>
      </c>
    </row>
    <row r="5" spans="1:86" x14ac:dyDescent="0.55000000000000004">
      <c r="A5" s="1">
        <v>61187</v>
      </c>
      <c r="B5" s="1">
        <v>89.5</v>
      </c>
      <c r="C5" s="1">
        <v>284599</v>
      </c>
      <c r="D5" s="1">
        <v>3351</v>
      </c>
      <c r="E5" s="1">
        <v>1650</v>
      </c>
      <c r="F5" s="1">
        <v>110929</v>
      </c>
      <c r="G5" s="1">
        <v>1950</v>
      </c>
      <c r="H5" s="1">
        <v>2</v>
      </c>
      <c r="I5" s="1">
        <v>0</v>
      </c>
      <c r="J5" s="1">
        <v>1</v>
      </c>
      <c r="K5" s="1">
        <v>1</v>
      </c>
      <c r="L5" s="1">
        <v>0</v>
      </c>
      <c r="M5" s="1">
        <v>107</v>
      </c>
      <c r="N5" s="1">
        <v>72</v>
      </c>
      <c r="O5" s="1">
        <v>4</v>
      </c>
      <c r="P5" s="1">
        <v>1.54</v>
      </c>
      <c r="Q5" s="1">
        <v>67</v>
      </c>
      <c r="S5" s="1">
        <v>2.75</v>
      </c>
      <c r="T5" s="1">
        <v>6</v>
      </c>
      <c r="U5" s="1">
        <v>4</v>
      </c>
      <c r="V5" s="1">
        <v>1.3009999999999999</v>
      </c>
      <c r="W5" s="1">
        <v>0</v>
      </c>
      <c r="X5" s="1">
        <v>1</v>
      </c>
      <c r="Y5" s="1">
        <v>3.5</v>
      </c>
      <c r="Z5" s="1">
        <v>2.5</v>
      </c>
      <c r="AA5" s="1">
        <v>3.5</v>
      </c>
      <c r="AC5" s="1">
        <v>2</v>
      </c>
      <c r="AD5" s="1">
        <v>2.25</v>
      </c>
      <c r="AE5" s="1">
        <v>5.5</v>
      </c>
      <c r="AF5" s="1">
        <v>1600</v>
      </c>
      <c r="AG5" s="1">
        <v>1493</v>
      </c>
      <c r="AH5" s="1">
        <v>10.83</v>
      </c>
      <c r="AI5" s="1">
        <v>120</v>
      </c>
      <c r="AJ5" s="1">
        <v>2</v>
      </c>
      <c r="AK5" s="2">
        <v>4.0090000000000003</v>
      </c>
      <c r="AL5" s="2">
        <v>15.2</v>
      </c>
      <c r="AM5" s="2">
        <v>1.649</v>
      </c>
      <c r="AN5" s="2">
        <v>0.81</v>
      </c>
      <c r="AO5" s="2">
        <v>3.02</v>
      </c>
      <c r="AP5" s="1">
        <v>0.2</v>
      </c>
      <c r="AQ5" s="2">
        <v>4</v>
      </c>
      <c r="AR5" s="1">
        <v>0</v>
      </c>
      <c r="AS5" s="1">
        <v>1</v>
      </c>
      <c r="AT5" s="1">
        <v>4</v>
      </c>
      <c r="AU5" s="1">
        <v>4</v>
      </c>
      <c r="AV5" s="1">
        <v>6</v>
      </c>
      <c r="AW5" s="1">
        <v>256</v>
      </c>
      <c r="AX5" s="1">
        <v>1</v>
      </c>
      <c r="AY5" s="1">
        <v>0</v>
      </c>
      <c r="AZ5" s="2">
        <v>41</v>
      </c>
      <c r="BA5" s="2">
        <v>3.71</v>
      </c>
      <c r="BB5" s="2">
        <v>32</v>
      </c>
      <c r="BC5" s="2">
        <v>4.5</v>
      </c>
      <c r="BD5" s="2">
        <v>32</v>
      </c>
      <c r="BE5" s="2">
        <v>4.7699999999999996</v>
      </c>
      <c r="BF5" s="1">
        <v>21</v>
      </c>
      <c r="BG5" s="2">
        <v>2</v>
      </c>
      <c r="BH5" s="2">
        <v>1</v>
      </c>
      <c r="BI5" s="2">
        <v>15</v>
      </c>
      <c r="BJ5" s="2">
        <v>115</v>
      </c>
      <c r="BK5" s="2">
        <v>0</v>
      </c>
      <c r="BL5" s="2">
        <v>0</v>
      </c>
      <c r="BM5" s="2">
        <v>0</v>
      </c>
      <c r="BN5" s="2">
        <v>1</v>
      </c>
      <c r="BO5" s="2" t="s">
        <v>499</v>
      </c>
      <c r="BP5" s="2">
        <v>0</v>
      </c>
      <c r="BQ5" s="2">
        <v>0</v>
      </c>
      <c r="BR5" s="2">
        <v>118</v>
      </c>
      <c r="BS5" s="2">
        <v>186514</v>
      </c>
      <c r="BT5" s="2">
        <v>1</v>
      </c>
      <c r="BU5" s="2" t="s">
        <v>85</v>
      </c>
      <c r="BV5" s="2">
        <v>1</v>
      </c>
      <c r="BW5" s="2">
        <v>0</v>
      </c>
      <c r="BX5" s="2">
        <v>0</v>
      </c>
      <c r="BY5" s="2">
        <v>1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5">
        <v>0.81</v>
      </c>
      <c r="CH5" s="5">
        <v>1.3</v>
      </c>
    </row>
    <row r="6" spans="1:86" x14ac:dyDescent="0.55000000000000004">
      <c r="A6" s="1">
        <v>63221</v>
      </c>
      <c r="B6" s="1">
        <v>96.2</v>
      </c>
      <c r="C6" s="1">
        <v>328975</v>
      </c>
      <c r="D6" s="1">
        <v>2099</v>
      </c>
      <c r="E6" s="1">
        <v>3099</v>
      </c>
      <c r="F6" s="1">
        <v>112075</v>
      </c>
      <c r="G6" s="1">
        <v>1951</v>
      </c>
      <c r="H6" s="1">
        <v>187</v>
      </c>
      <c r="I6" s="1">
        <v>35</v>
      </c>
      <c r="J6" s="1">
        <v>0</v>
      </c>
      <c r="K6" s="1">
        <v>0</v>
      </c>
      <c r="L6" s="1">
        <v>1</v>
      </c>
      <c r="M6" s="1">
        <v>119</v>
      </c>
      <c r="N6" s="1">
        <v>52</v>
      </c>
      <c r="O6" s="1">
        <v>10</v>
      </c>
      <c r="P6" s="1">
        <v>2.06</v>
      </c>
      <c r="Q6" s="1">
        <v>69</v>
      </c>
      <c r="S6" s="1">
        <v>2.75</v>
      </c>
      <c r="T6" s="1">
        <v>4.25</v>
      </c>
      <c r="U6" s="1">
        <v>5</v>
      </c>
      <c r="V6" s="1">
        <v>1.6020000000000001</v>
      </c>
      <c r="W6" s="1">
        <v>0</v>
      </c>
      <c r="X6" s="1">
        <v>1</v>
      </c>
      <c r="Y6" s="1">
        <v>2</v>
      </c>
      <c r="Z6" s="1">
        <v>1</v>
      </c>
      <c r="AA6" s="1">
        <v>3.5</v>
      </c>
      <c r="AC6" s="1">
        <v>0</v>
      </c>
      <c r="AD6" s="1">
        <v>3.75</v>
      </c>
      <c r="AE6" s="1">
        <v>2.25</v>
      </c>
      <c r="AF6" s="1">
        <v>1710</v>
      </c>
      <c r="AG6" s="1">
        <v>1571</v>
      </c>
      <c r="AH6" s="1">
        <v>11.08</v>
      </c>
      <c r="AI6" s="1">
        <v>90</v>
      </c>
      <c r="AJ6" s="1">
        <v>2</v>
      </c>
      <c r="AK6" s="2">
        <v>4.6870000000000003</v>
      </c>
      <c r="AL6" s="2">
        <v>14.7</v>
      </c>
      <c r="AM6" s="2">
        <v>2.3119999999999998</v>
      </c>
      <c r="AN6" s="2">
        <v>2.5</v>
      </c>
      <c r="AO6" s="2">
        <v>2.2200000000000002</v>
      </c>
      <c r="AP6" s="1">
        <v>0.2</v>
      </c>
      <c r="AQ6" s="2">
        <v>5</v>
      </c>
      <c r="AR6" s="1">
        <v>0</v>
      </c>
      <c r="AS6" s="1">
        <v>0</v>
      </c>
      <c r="AT6" s="1">
        <v>19</v>
      </c>
      <c r="AU6" s="1">
        <v>20</v>
      </c>
      <c r="AV6" s="1">
        <v>13</v>
      </c>
      <c r="AW6" s="1">
        <v>394</v>
      </c>
      <c r="AX6" s="1">
        <v>1</v>
      </c>
      <c r="AY6" s="1">
        <v>1</v>
      </c>
      <c r="AZ6" s="2">
        <v>45</v>
      </c>
      <c r="BA6" s="2">
        <v>4.0199999999999996</v>
      </c>
      <c r="BB6" s="2">
        <v>31</v>
      </c>
      <c r="BC6" s="2">
        <v>4.47</v>
      </c>
      <c r="BD6" s="2">
        <v>23</v>
      </c>
      <c r="BE6" s="2">
        <v>5.71</v>
      </c>
      <c r="BF6" s="1">
        <v>22</v>
      </c>
      <c r="BG6" s="2">
        <v>3</v>
      </c>
      <c r="BH6" s="2">
        <v>0</v>
      </c>
      <c r="BI6" s="2">
        <v>16</v>
      </c>
      <c r="BJ6" s="2">
        <v>95</v>
      </c>
      <c r="BK6" s="2">
        <v>0</v>
      </c>
      <c r="BL6" s="2">
        <v>0</v>
      </c>
      <c r="BM6" s="2">
        <v>0</v>
      </c>
      <c r="BN6" s="2">
        <v>0</v>
      </c>
      <c r="BO6" s="2" t="s">
        <v>499</v>
      </c>
      <c r="BP6" s="2">
        <v>0</v>
      </c>
      <c r="BQ6" s="2">
        <v>0</v>
      </c>
      <c r="BR6" s="2">
        <v>97</v>
      </c>
      <c r="BS6" s="2">
        <v>135475</v>
      </c>
      <c r="BT6" s="2">
        <v>1</v>
      </c>
      <c r="BU6" s="2" t="s">
        <v>108</v>
      </c>
      <c r="BV6" s="2">
        <v>1</v>
      </c>
      <c r="BW6" s="2">
        <v>0</v>
      </c>
      <c r="BX6" s="2">
        <v>0</v>
      </c>
      <c r="BY6" s="2">
        <v>0</v>
      </c>
      <c r="BZ6" s="2">
        <v>1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5">
        <v>1.72</v>
      </c>
      <c r="CH6" s="5">
        <v>1.88</v>
      </c>
    </row>
    <row r="7" spans="1:86" x14ac:dyDescent="0.55000000000000004">
      <c r="A7" s="1">
        <v>63639</v>
      </c>
      <c r="B7" s="1">
        <v>98.1</v>
      </c>
      <c r="C7" s="1">
        <v>346999</v>
      </c>
      <c r="D7" s="1">
        <v>1932</v>
      </c>
      <c r="E7" s="1">
        <v>3594</v>
      </c>
      <c r="F7" s="1">
        <v>113270</v>
      </c>
      <c r="G7" s="1">
        <v>1952</v>
      </c>
      <c r="H7" s="1">
        <v>85</v>
      </c>
      <c r="I7" s="1">
        <v>13</v>
      </c>
      <c r="J7" s="1">
        <v>1</v>
      </c>
      <c r="K7" s="1">
        <v>0</v>
      </c>
      <c r="L7" s="1">
        <v>1</v>
      </c>
      <c r="M7" s="1">
        <v>92</v>
      </c>
      <c r="N7" s="1">
        <v>75</v>
      </c>
      <c r="O7" s="1">
        <v>13</v>
      </c>
      <c r="P7" s="1">
        <v>1.74</v>
      </c>
      <c r="Q7" s="1">
        <v>71</v>
      </c>
      <c r="S7" s="1">
        <v>1.75</v>
      </c>
      <c r="T7" s="1">
        <v>2.75</v>
      </c>
      <c r="U7" s="1">
        <v>4</v>
      </c>
      <c r="W7" s="1">
        <v>0.5</v>
      </c>
      <c r="X7" s="1">
        <v>0.5</v>
      </c>
      <c r="Y7" s="1">
        <v>0</v>
      </c>
      <c r="Z7" s="1">
        <v>2</v>
      </c>
      <c r="AA7" s="1">
        <v>3</v>
      </c>
      <c r="AC7" s="1">
        <v>0.5</v>
      </c>
      <c r="AE7" s="1">
        <v>3.5</v>
      </c>
      <c r="AF7" s="1">
        <v>1840</v>
      </c>
      <c r="AG7" s="1">
        <v>1711</v>
      </c>
      <c r="AH7" s="1">
        <v>11.33</v>
      </c>
      <c r="AI7" s="1">
        <v>88</v>
      </c>
      <c r="AJ7" s="1">
        <v>5</v>
      </c>
      <c r="AK7" s="2">
        <v>8.0440000000000005</v>
      </c>
      <c r="AL7" s="2">
        <v>15.6</v>
      </c>
      <c r="AM7" s="2">
        <v>3.641</v>
      </c>
      <c r="AN7" s="2">
        <v>4.51</v>
      </c>
      <c r="AO7" s="2">
        <v>2.36</v>
      </c>
      <c r="AP7" s="1">
        <v>0.2</v>
      </c>
      <c r="AQ7" s="2">
        <v>6</v>
      </c>
      <c r="AR7" s="1">
        <v>0</v>
      </c>
      <c r="AS7" s="1">
        <v>1</v>
      </c>
      <c r="AT7" s="1">
        <v>3</v>
      </c>
      <c r="AU7" s="1">
        <v>10</v>
      </c>
      <c r="AV7" s="1">
        <v>9</v>
      </c>
      <c r="AW7" s="1">
        <v>325</v>
      </c>
      <c r="AX7" s="1">
        <v>1</v>
      </c>
      <c r="AY7" s="1">
        <v>2</v>
      </c>
      <c r="AZ7" s="2">
        <v>49</v>
      </c>
      <c r="BA7" s="2">
        <v>5.09</v>
      </c>
      <c r="BB7" s="2">
        <v>29</v>
      </c>
      <c r="BC7" s="2">
        <v>5.12</v>
      </c>
      <c r="BD7" s="2">
        <v>25</v>
      </c>
      <c r="BE7" s="2">
        <v>4.47</v>
      </c>
      <c r="BF7" s="1">
        <v>24</v>
      </c>
      <c r="BG7" s="2">
        <v>3</v>
      </c>
      <c r="BH7" s="2">
        <v>1</v>
      </c>
      <c r="BI7" s="2">
        <v>16</v>
      </c>
      <c r="BJ7" s="2">
        <v>130</v>
      </c>
      <c r="BK7" s="2">
        <v>0</v>
      </c>
      <c r="BL7" s="2">
        <v>0</v>
      </c>
      <c r="BM7" s="2">
        <v>0</v>
      </c>
      <c r="BN7" s="2">
        <v>0</v>
      </c>
      <c r="BO7" s="2" t="s">
        <v>499</v>
      </c>
      <c r="BP7" s="2">
        <v>0</v>
      </c>
      <c r="BQ7" s="2">
        <v>0</v>
      </c>
      <c r="BR7" s="2">
        <v>58</v>
      </c>
      <c r="BS7" s="2">
        <v>42620</v>
      </c>
      <c r="BT7" s="2">
        <v>1</v>
      </c>
      <c r="BU7" s="2" t="s">
        <v>14</v>
      </c>
      <c r="BV7" s="2">
        <v>1</v>
      </c>
      <c r="BW7" s="2">
        <v>0</v>
      </c>
      <c r="BX7" s="2">
        <v>0</v>
      </c>
      <c r="BY7" s="2">
        <v>0</v>
      </c>
      <c r="BZ7" s="2">
        <v>0</v>
      </c>
      <c r="CA7" s="2">
        <v>1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5">
        <v>3.23</v>
      </c>
      <c r="CH7" s="5">
        <v>3.35</v>
      </c>
    </row>
    <row r="8" spans="1:86" x14ac:dyDescent="0.55000000000000004">
      <c r="A8" s="1">
        <v>64989</v>
      </c>
      <c r="B8" s="1">
        <v>99</v>
      </c>
      <c r="C8" s="1">
        <v>365385</v>
      </c>
      <c r="D8" s="1">
        <v>1870</v>
      </c>
      <c r="E8" s="1">
        <v>3547</v>
      </c>
      <c r="F8" s="1">
        <v>115094</v>
      </c>
      <c r="G8" s="1">
        <v>1953</v>
      </c>
      <c r="H8" s="1">
        <v>51</v>
      </c>
      <c r="I8" s="1">
        <v>15</v>
      </c>
      <c r="J8" s="1">
        <v>0</v>
      </c>
      <c r="K8" s="1">
        <v>1</v>
      </c>
      <c r="L8" s="1">
        <v>1</v>
      </c>
      <c r="M8" s="1">
        <v>126</v>
      </c>
      <c r="N8" s="1">
        <v>76</v>
      </c>
      <c r="O8" s="1">
        <v>21</v>
      </c>
      <c r="P8" s="1">
        <v>2.56</v>
      </c>
      <c r="Q8" s="1">
        <v>88</v>
      </c>
      <c r="S8" s="1">
        <v>2.75</v>
      </c>
      <c r="T8" s="1">
        <v>1.5</v>
      </c>
      <c r="U8" s="1">
        <v>2.5</v>
      </c>
      <c r="AF8" s="1">
        <v>1980</v>
      </c>
      <c r="AG8" s="1">
        <v>1804</v>
      </c>
      <c r="AH8" s="1">
        <v>11.58</v>
      </c>
      <c r="AI8" s="1">
        <v>105</v>
      </c>
      <c r="AJ8" s="1">
        <v>10</v>
      </c>
      <c r="AK8" s="2">
        <v>2.766</v>
      </c>
      <c r="AL8" s="2">
        <v>13.3</v>
      </c>
      <c r="AM8" s="2">
        <v>1.244</v>
      </c>
      <c r="AN8" s="2">
        <v>1.03</v>
      </c>
      <c r="AO8" s="2">
        <v>1.97</v>
      </c>
      <c r="AP8" s="1">
        <v>0.21</v>
      </c>
      <c r="AQ8" s="2">
        <v>6</v>
      </c>
      <c r="AR8" s="1">
        <v>0</v>
      </c>
      <c r="AS8" s="1">
        <v>1</v>
      </c>
      <c r="AT8" s="1">
        <v>4</v>
      </c>
      <c r="AU8" s="1">
        <v>6</v>
      </c>
      <c r="AV8" s="1">
        <v>3</v>
      </c>
      <c r="AW8" s="1">
        <v>90</v>
      </c>
      <c r="AX8" s="1">
        <v>2</v>
      </c>
      <c r="AY8" s="1">
        <v>0</v>
      </c>
      <c r="AZ8" s="2">
        <v>52</v>
      </c>
      <c r="BA8" s="2">
        <v>2.7</v>
      </c>
      <c r="BB8" s="2">
        <v>29</v>
      </c>
      <c r="BC8" s="2">
        <v>4.51</v>
      </c>
      <c r="BD8" s="2">
        <v>32</v>
      </c>
      <c r="BE8" s="2">
        <v>4.55</v>
      </c>
      <c r="BF8" s="1">
        <v>25</v>
      </c>
      <c r="BG8" s="2">
        <v>4</v>
      </c>
      <c r="BH8" s="2">
        <v>0</v>
      </c>
      <c r="BI8" s="2">
        <v>17</v>
      </c>
      <c r="BJ8" s="2">
        <v>103</v>
      </c>
      <c r="BK8" s="2">
        <v>0</v>
      </c>
      <c r="BL8" s="2">
        <v>0</v>
      </c>
      <c r="BM8" s="2">
        <v>0</v>
      </c>
      <c r="BN8" s="2">
        <v>0</v>
      </c>
      <c r="BO8" s="2" t="s">
        <v>499</v>
      </c>
      <c r="BP8" s="2">
        <v>0</v>
      </c>
      <c r="BQ8" s="2">
        <v>0</v>
      </c>
      <c r="BR8" s="2">
        <v>56</v>
      </c>
      <c r="BS8" s="2">
        <v>25001</v>
      </c>
      <c r="BT8" s="2">
        <v>1</v>
      </c>
      <c r="BU8" s="2" t="s">
        <v>361</v>
      </c>
      <c r="BV8" s="2">
        <v>1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1</v>
      </c>
      <c r="CC8" s="2">
        <v>0</v>
      </c>
      <c r="CD8" s="2">
        <v>0</v>
      </c>
      <c r="CE8" s="2">
        <v>0</v>
      </c>
      <c r="CF8" s="2">
        <v>0</v>
      </c>
      <c r="CG8" s="5">
        <v>1.23</v>
      </c>
      <c r="CH8" s="5">
        <v>1.06</v>
      </c>
    </row>
    <row r="9" spans="1:86" x14ac:dyDescent="0.55000000000000004">
      <c r="A9" s="1">
        <v>63761</v>
      </c>
      <c r="B9" s="1">
        <v>100</v>
      </c>
      <c r="C9" s="1">
        <v>363112</v>
      </c>
      <c r="D9" s="1">
        <v>3578</v>
      </c>
      <c r="E9" s="1">
        <v>3350</v>
      </c>
      <c r="F9" s="1">
        <v>116219</v>
      </c>
      <c r="G9" s="1">
        <v>1954</v>
      </c>
      <c r="H9" s="1">
        <v>23</v>
      </c>
      <c r="I9" s="1">
        <v>8</v>
      </c>
      <c r="J9" s="1">
        <v>1</v>
      </c>
      <c r="K9" s="1">
        <v>1</v>
      </c>
      <c r="L9" s="1">
        <v>1</v>
      </c>
      <c r="M9" s="1">
        <v>80</v>
      </c>
      <c r="N9" s="1">
        <v>118</v>
      </c>
      <c r="O9" s="1">
        <v>12</v>
      </c>
      <c r="P9" s="1">
        <v>2.29</v>
      </c>
      <c r="Q9" s="1">
        <v>68</v>
      </c>
      <c r="S9" s="1">
        <v>2.25</v>
      </c>
      <c r="T9" s="1">
        <v>3</v>
      </c>
      <c r="U9" s="1">
        <v>3.5</v>
      </c>
      <c r="AF9" s="1">
        <v>2230</v>
      </c>
      <c r="AG9" s="1">
        <v>1840</v>
      </c>
      <c r="AH9" s="1">
        <v>11.83</v>
      </c>
      <c r="AI9" s="1">
        <v>111</v>
      </c>
      <c r="AJ9" s="1">
        <v>17</v>
      </c>
      <c r="AK9" s="2">
        <v>6.5380000000000003</v>
      </c>
      <c r="AL9" s="2">
        <v>17</v>
      </c>
      <c r="AM9" s="2">
        <v>2.6179999999999999</v>
      </c>
      <c r="AN9" s="2">
        <v>2.39</v>
      </c>
      <c r="AO9" s="2">
        <v>1.85</v>
      </c>
      <c r="AP9" s="1">
        <v>0.22</v>
      </c>
      <c r="AQ9" s="2">
        <v>6</v>
      </c>
      <c r="AR9" s="1">
        <v>0</v>
      </c>
      <c r="AS9" s="1">
        <v>1</v>
      </c>
      <c r="AT9" s="1">
        <v>4</v>
      </c>
      <c r="AU9" s="1">
        <v>20</v>
      </c>
      <c r="AV9" s="1">
        <v>6</v>
      </c>
      <c r="AW9" s="1">
        <v>147</v>
      </c>
      <c r="AX9" s="1">
        <v>2</v>
      </c>
      <c r="AY9" s="1">
        <v>1</v>
      </c>
      <c r="AZ9" s="2">
        <v>47</v>
      </c>
      <c r="BA9" s="2">
        <v>4.3099999999999996</v>
      </c>
      <c r="BB9" s="2">
        <v>30</v>
      </c>
      <c r="BC9" s="2">
        <v>4.8499999999999996</v>
      </c>
      <c r="BD9" s="2">
        <v>18</v>
      </c>
      <c r="BE9" s="2">
        <v>4.6100000000000003</v>
      </c>
      <c r="BF9" s="1">
        <v>26</v>
      </c>
      <c r="BG9" s="2">
        <v>4</v>
      </c>
      <c r="BH9" s="2">
        <v>1</v>
      </c>
      <c r="BI9" s="2">
        <v>17</v>
      </c>
      <c r="BJ9" s="2">
        <v>130</v>
      </c>
      <c r="BK9" s="2">
        <v>1</v>
      </c>
      <c r="BL9" s="2">
        <v>1</v>
      </c>
      <c r="BM9" s="2">
        <v>0</v>
      </c>
      <c r="BN9" s="2">
        <v>1</v>
      </c>
      <c r="BO9" s="2" t="s">
        <v>499</v>
      </c>
      <c r="BP9" s="2">
        <v>0</v>
      </c>
      <c r="BQ9" s="2">
        <v>0</v>
      </c>
      <c r="BR9" s="2">
        <v>54</v>
      </c>
      <c r="BS9" s="2">
        <v>13710</v>
      </c>
      <c r="BT9" s="2">
        <v>1</v>
      </c>
      <c r="BU9" s="2" t="s">
        <v>228</v>
      </c>
      <c r="BV9" s="2">
        <v>1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1</v>
      </c>
      <c r="CD9" s="2">
        <v>0</v>
      </c>
      <c r="CE9" s="2">
        <v>0</v>
      </c>
      <c r="CF9" s="2">
        <v>0</v>
      </c>
      <c r="CG9" s="5">
        <v>1.37</v>
      </c>
      <c r="CH9" s="5">
        <v>1.34</v>
      </c>
    </row>
    <row r="10" spans="1:86" x14ac:dyDescent="0.55000000000000004">
      <c r="A10" s="1">
        <v>66019</v>
      </c>
      <c r="B10" s="1">
        <v>101.2</v>
      </c>
      <c r="C10" s="1">
        <v>397469</v>
      </c>
      <c r="D10" s="1">
        <v>2904</v>
      </c>
      <c r="E10" s="1">
        <v>3048</v>
      </c>
      <c r="F10" s="1">
        <v>117388</v>
      </c>
      <c r="G10" s="1">
        <v>1955</v>
      </c>
      <c r="M10" s="1">
        <v>81</v>
      </c>
      <c r="N10" s="1">
        <v>120</v>
      </c>
      <c r="O10" s="1">
        <v>9</v>
      </c>
      <c r="P10" s="1">
        <v>1.8</v>
      </c>
      <c r="Q10" s="1">
        <v>59</v>
      </c>
      <c r="S10" s="1">
        <v>2.25</v>
      </c>
      <c r="U10" s="1">
        <v>3</v>
      </c>
      <c r="AF10" s="1">
        <v>2400</v>
      </c>
      <c r="AG10" s="1">
        <v>1956</v>
      </c>
      <c r="AH10" s="1">
        <v>12.08</v>
      </c>
      <c r="AI10" s="1">
        <v>100</v>
      </c>
      <c r="AJ10" s="1">
        <v>16</v>
      </c>
      <c r="AK10" s="2">
        <v>6.4509999999999996</v>
      </c>
      <c r="AL10" s="2">
        <v>12.9</v>
      </c>
      <c r="AM10" s="2">
        <v>3.1469999999999998</v>
      </c>
      <c r="AN10" s="2">
        <v>5.52</v>
      </c>
      <c r="AO10" s="2">
        <v>2.0099999999999998</v>
      </c>
      <c r="AP10" s="1">
        <v>0.24</v>
      </c>
      <c r="AQ10" s="2">
        <v>6</v>
      </c>
      <c r="AR10" s="1">
        <v>1</v>
      </c>
      <c r="AS10" s="1">
        <v>1</v>
      </c>
      <c r="AT10" s="1">
        <v>5</v>
      </c>
      <c r="AU10" s="1">
        <v>8</v>
      </c>
      <c r="AV10" s="1">
        <v>7</v>
      </c>
      <c r="AW10" s="1">
        <v>159</v>
      </c>
      <c r="AX10" s="1">
        <v>2</v>
      </c>
      <c r="AY10" s="1">
        <v>2</v>
      </c>
      <c r="AZ10" s="2">
        <v>61</v>
      </c>
      <c r="BA10" s="2">
        <v>2.7</v>
      </c>
      <c r="BB10" s="2">
        <v>21</v>
      </c>
      <c r="BC10" s="2">
        <v>5.22</v>
      </c>
      <c r="BD10" s="2">
        <v>19</v>
      </c>
      <c r="BE10" s="2">
        <v>5.86</v>
      </c>
      <c r="BF10" s="1">
        <v>26</v>
      </c>
      <c r="BG10" s="2">
        <v>5</v>
      </c>
      <c r="BH10" s="2">
        <v>0</v>
      </c>
      <c r="BI10" s="2">
        <v>17</v>
      </c>
      <c r="BJ10" s="2">
        <v>122</v>
      </c>
      <c r="BK10" s="2">
        <v>1</v>
      </c>
      <c r="BL10" s="2">
        <v>0</v>
      </c>
      <c r="BM10" s="2">
        <v>0</v>
      </c>
      <c r="BN10" s="2">
        <v>0</v>
      </c>
      <c r="BO10" s="2" t="s">
        <v>241</v>
      </c>
      <c r="BP10" s="2">
        <v>0</v>
      </c>
      <c r="BQ10" s="2">
        <v>1</v>
      </c>
      <c r="BR10" s="2">
        <v>34</v>
      </c>
      <c r="BS10" s="2">
        <v>6163</v>
      </c>
      <c r="BT10" s="2">
        <v>1</v>
      </c>
      <c r="BU10" s="2" t="s">
        <v>44</v>
      </c>
      <c r="BV10" s="2">
        <v>1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1</v>
      </c>
      <c r="CE10" s="2">
        <v>0</v>
      </c>
      <c r="CF10" s="2">
        <v>0</v>
      </c>
      <c r="CG10" s="5">
        <v>1.72</v>
      </c>
      <c r="CH10" s="5">
        <v>1.56</v>
      </c>
    </row>
    <row r="11" spans="1:86" x14ac:dyDescent="0.55000000000000004">
      <c r="A11" s="1">
        <v>67857</v>
      </c>
      <c r="B11" s="1">
        <v>104.6</v>
      </c>
      <c r="C11" s="1">
        <v>419180</v>
      </c>
      <c r="D11" s="1">
        <v>2822</v>
      </c>
      <c r="E11" s="1">
        <v>2857</v>
      </c>
      <c r="F11" s="1">
        <v>118734</v>
      </c>
      <c r="G11" s="1">
        <v>1956</v>
      </c>
      <c r="M11" s="1">
        <v>84</v>
      </c>
      <c r="N11" s="1">
        <v>114</v>
      </c>
      <c r="O11" s="1">
        <v>65</v>
      </c>
      <c r="P11" s="1">
        <v>2.3199999999999998</v>
      </c>
      <c r="Q11" s="1">
        <v>73</v>
      </c>
      <c r="S11" s="1">
        <v>2.5</v>
      </c>
      <c r="U11" s="1">
        <v>2</v>
      </c>
      <c r="AF11" s="1">
        <v>2930</v>
      </c>
      <c r="AG11" s="1">
        <v>1954</v>
      </c>
      <c r="AH11" s="1">
        <v>12.33</v>
      </c>
      <c r="AI11" s="1">
        <v>93</v>
      </c>
      <c r="AJ11" s="1">
        <v>29</v>
      </c>
      <c r="AK11" s="2">
        <v>3.3140000000000001</v>
      </c>
      <c r="AL11" s="2">
        <v>12.2</v>
      </c>
      <c r="AM11" s="2">
        <v>1.6060000000000001</v>
      </c>
      <c r="AN11" s="2">
        <v>2.1800000000000002</v>
      </c>
      <c r="AO11" s="2">
        <v>1.82</v>
      </c>
      <c r="AP11" s="1">
        <v>0.25</v>
      </c>
      <c r="AQ11" s="2">
        <v>6</v>
      </c>
      <c r="AR11" s="1">
        <v>1</v>
      </c>
      <c r="AS11" s="1">
        <v>1</v>
      </c>
      <c r="AT11" s="1">
        <v>3</v>
      </c>
      <c r="AU11" s="1">
        <v>18</v>
      </c>
      <c r="AV11" s="1">
        <v>4</v>
      </c>
      <c r="AW11" s="1">
        <v>22</v>
      </c>
      <c r="AX11" s="1">
        <v>3</v>
      </c>
      <c r="AY11" s="1">
        <v>0</v>
      </c>
      <c r="AZ11" s="2">
        <v>65</v>
      </c>
      <c r="BA11" s="2">
        <v>3.03</v>
      </c>
      <c r="BB11" s="2">
        <v>28</v>
      </c>
      <c r="BC11" s="2">
        <v>4.62</v>
      </c>
      <c r="BD11" s="2">
        <v>26</v>
      </c>
      <c r="BE11" s="2">
        <v>5.2</v>
      </c>
      <c r="BF11" s="1">
        <v>26</v>
      </c>
      <c r="BG11" s="2">
        <v>5</v>
      </c>
      <c r="BH11" s="2">
        <v>1</v>
      </c>
      <c r="BI11" s="2">
        <v>17</v>
      </c>
      <c r="BJ11" s="2">
        <v>110</v>
      </c>
      <c r="BK11" s="2">
        <v>1</v>
      </c>
      <c r="BL11" s="2">
        <v>0</v>
      </c>
      <c r="BM11" s="2">
        <v>0</v>
      </c>
      <c r="BN11" s="2">
        <v>0</v>
      </c>
      <c r="BO11" s="2" t="s">
        <v>241</v>
      </c>
      <c r="BP11" s="2">
        <v>0</v>
      </c>
      <c r="BQ11" s="2">
        <v>1</v>
      </c>
      <c r="BR11" s="2">
        <v>9</v>
      </c>
      <c r="BS11" s="2">
        <v>1575</v>
      </c>
      <c r="BT11" s="2">
        <v>1</v>
      </c>
      <c r="BU11" s="2" t="s">
        <v>465</v>
      </c>
      <c r="BV11" s="2">
        <v>1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1</v>
      </c>
      <c r="CF11" s="2">
        <v>0</v>
      </c>
      <c r="CG11" s="5">
        <v>0.96</v>
      </c>
      <c r="CH11" s="5">
        <v>0.94</v>
      </c>
    </row>
    <row r="12" spans="1:86" x14ac:dyDescent="0.55000000000000004">
      <c r="A12" s="1">
        <v>68169</v>
      </c>
      <c r="B12" s="1">
        <v>108.4</v>
      </c>
      <c r="C12" s="1">
        <v>442769</v>
      </c>
      <c r="D12" s="1">
        <v>2936</v>
      </c>
      <c r="E12" s="1">
        <v>2798</v>
      </c>
      <c r="F12" s="1">
        <v>120445</v>
      </c>
      <c r="G12" s="1">
        <v>1957</v>
      </c>
      <c r="M12" s="1">
        <v>115</v>
      </c>
      <c r="N12" s="1">
        <v>29</v>
      </c>
      <c r="O12" s="1">
        <v>20</v>
      </c>
      <c r="P12" s="1">
        <v>2.04</v>
      </c>
      <c r="Q12" s="1">
        <v>68</v>
      </c>
      <c r="U12" s="1">
        <v>3</v>
      </c>
      <c r="AH12" s="1">
        <v>12.58</v>
      </c>
      <c r="AI12" s="1">
        <v>100</v>
      </c>
      <c r="AJ12" s="1">
        <v>39</v>
      </c>
      <c r="AK12" s="2">
        <v>3.7770000000000001</v>
      </c>
      <c r="AL12" s="2">
        <v>13</v>
      </c>
      <c r="AM12" s="2">
        <v>2.1190000000000002</v>
      </c>
      <c r="AN12" s="2">
        <v>2.83</v>
      </c>
      <c r="AO12" s="2">
        <v>1.8</v>
      </c>
      <c r="AP12" s="1">
        <v>0.26</v>
      </c>
      <c r="AQ12" s="2">
        <v>6</v>
      </c>
      <c r="AR12" s="1">
        <v>1</v>
      </c>
      <c r="AS12" s="1">
        <v>1</v>
      </c>
      <c r="AT12" s="1">
        <v>7</v>
      </c>
      <c r="AU12" s="1">
        <v>9</v>
      </c>
      <c r="AV12" s="1">
        <v>11</v>
      </c>
      <c r="AW12" s="1">
        <v>59</v>
      </c>
      <c r="AX12" s="1">
        <v>3</v>
      </c>
      <c r="AY12" s="1">
        <v>1</v>
      </c>
      <c r="AZ12" s="2">
        <v>58</v>
      </c>
      <c r="BA12" s="2">
        <v>2.73</v>
      </c>
      <c r="BB12" s="2">
        <v>23</v>
      </c>
      <c r="BC12" s="2">
        <v>5.07</v>
      </c>
      <c r="BD12" s="2">
        <v>33</v>
      </c>
      <c r="BE12" s="2">
        <v>4.4400000000000004</v>
      </c>
      <c r="BF12" s="1">
        <v>27</v>
      </c>
      <c r="BG12" s="2">
        <v>6</v>
      </c>
      <c r="BH12" s="2">
        <v>0</v>
      </c>
      <c r="BI12" s="2">
        <v>17</v>
      </c>
      <c r="BJ12" s="2">
        <v>113</v>
      </c>
      <c r="BK12" s="2">
        <v>0</v>
      </c>
      <c r="BL12" s="2">
        <v>0</v>
      </c>
      <c r="BM12" s="2">
        <v>0</v>
      </c>
      <c r="BN12" s="2">
        <v>0</v>
      </c>
      <c r="BO12" s="2" t="s">
        <v>210</v>
      </c>
      <c r="BP12" s="2">
        <v>1</v>
      </c>
      <c r="BQ12" s="2">
        <v>0</v>
      </c>
      <c r="BR12" s="2">
        <v>2</v>
      </c>
      <c r="BS12" s="2">
        <v>273</v>
      </c>
      <c r="BT12" s="2">
        <v>1</v>
      </c>
      <c r="BU12" s="2" t="s">
        <v>207</v>
      </c>
      <c r="BV12" s="2">
        <v>1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1</v>
      </c>
      <c r="CG12" s="5">
        <v>0.76</v>
      </c>
      <c r="CH12" s="5">
        <v>0.69</v>
      </c>
    </row>
    <row r="13" spans="1:86" x14ac:dyDescent="0.55000000000000004">
      <c r="A13" s="1">
        <v>66513</v>
      </c>
      <c r="B13" s="1">
        <v>110.8</v>
      </c>
      <c r="C13" s="1">
        <v>444546</v>
      </c>
      <c r="D13" s="1">
        <v>4681</v>
      </c>
      <c r="E13" s="1">
        <v>2637</v>
      </c>
      <c r="F13" s="1">
        <v>121950</v>
      </c>
      <c r="G13" s="1">
        <v>1958</v>
      </c>
      <c r="M13" s="1">
        <v>118</v>
      </c>
      <c r="N13" s="1">
        <v>42</v>
      </c>
      <c r="O13" s="1">
        <v>31</v>
      </c>
      <c r="P13" s="1">
        <v>1.88</v>
      </c>
      <c r="Q13" s="1">
        <v>58</v>
      </c>
      <c r="U13" s="1">
        <v>4</v>
      </c>
      <c r="AH13" s="1">
        <v>12.83</v>
      </c>
      <c r="AI13" s="1">
        <v>108</v>
      </c>
      <c r="AJ13" s="1">
        <v>51</v>
      </c>
      <c r="AK13" s="2">
        <v>1.53</v>
      </c>
      <c r="AL13" s="2">
        <v>13.8</v>
      </c>
      <c r="AM13" s="2">
        <v>0.79800000000000004</v>
      </c>
      <c r="AN13" s="2">
        <v>0.84</v>
      </c>
      <c r="AO13" s="2">
        <v>4.25</v>
      </c>
      <c r="AP13" s="1">
        <v>0.26</v>
      </c>
      <c r="AQ13" s="2">
        <v>6</v>
      </c>
      <c r="AR13" s="1">
        <v>0</v>
      </c>
      <c r="AS13" s="1">
        <v>0</v>
      </c>
      <c r="AT13" s="1">
        <v>25</v>
      </c>
      <c r="AU13" s="1">
        <v>9</v>
      </c>
      <c r="AV13" s="1">
        <v>18</v>
      </c>
      <c r="AW13" s="1">
        <v>91</v>
      </c>
      <c r="AX13" s="1">
        <v>3</v>
      </c>
      <c r="AY13" s="1">
        <v>2</v>
      </c>
      <c r="AZ13" s="2">
        <v>59</v>
      </c>
      <c r="BA13" s="2">
        <v>3.67</v>
      </c>
      <c r="BB13" s="2">
        <v>35</v>
      </c>
      <c r="BC13" s="2">
        <v>3.64</v>
      </c>
      <c r="BD13" s="2">
        <v>27</v>
      </c>
      <c r="BE13" s="2">
        <v>5.52</v>
      </c>
      <c r="BF13" s="1">
        <v>30</v>
      </c>
      <c r="BG13" s="2">
        <v>6</v>
      </c>
      <c r="BH13" s="2">
        <v>1</v>
      </c>
      <c r="BI13" s="2">
        <v>17</v>
      </c>
      <c r="BJ13" s="2">
        <v>120</v>
      </c>
      <c r="BK13" s="2">
        <v>1</v>
      </c>
      <c r="BL13" s="2">
        <v>0</v>
      </c>
      <c r="BM13" s="2">
        <v>0</v>
      </c>
      <c r="BN13" s="2">
        <v>0</v>
      </c>
      <c r="BO13" s="2" t="s">
        <v>241</v>
      </c>
      <c r="BP13" s="2">
        <v>0</v>
      </c>
      <c r="BQ13" s="2">
        <v>1</v>
      </c>
      <c r="BR13" s="2">
        <v>18</v>
      </c>
      <c r="BS13" s="2">
        <v>208487</v>
      </c>
      <c r="BT13" s="2">
        <v>0</v>
      </c>
      <c r="BU13" s="2" t="s">
        <v>328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5">
        <v>1.1499999999999999</v>
      </c>
      <c r="CH13" s="5">
        <v>1.1599999999999999</v>
      </c>
    </row>
    <row r="14" spans="1:86" x14ac:dyDescent="0.55000000000000004">
      <c r="A14" s="1">
        <v>68655</v>
      </c>
      <c r="B14" s="1">
        <v>112.6</v>
      </c>
      <c r="C14" s="1">
        <v>482704</v>
      </c>
      <c r="D14" s="1">
        <v>3813</v>
      </c>
      <c r="E14" s="1">
        <v>2552</v>
      </c>
      <c r="F14" s="1">
        <v>123366</v>
      </c>
      <c r="G14" s="1">
        <v>1959</v>
      </c>
      <c r="M14" s="1">
        <v>128</v>
      </c>
      <c r="N14" s="1">
        <v>48</v>
      </c>
      <c r="O14" s="1">
        <v>23</v>
      </c>
      <c r="P14" s="1">
        <v>1.18</v>
      </c>
      <c r="Q14" s="1">
        <v>61</v>
      </c>
      <c r="U14" s="1">
        <v>4</v>
      </c>
      <c r="AH14" s="1">
        <v>13.08</v>
      </c>
      <c r="AI14" s="1">
        <v>99</v>
      </c>
      <c r="AJ14" s="1">
        <v>47</v>
      </c>
      <c r="AK14" s="2">
        <v>2.7679999999999998</v>
      </c>
      <c r="AL14" s="2">
        <v>13.6</v>
      </c>
      <c r="AM14" s="2">
        <v>1.3360000000000001</v>
      </c>
      <c r="AN14" s="2">
        <v>1.75</v>
      </c>
      <c r="AO14" s="2">
        <v>2.64</v>
      </c>
      <c r="AP14" s="1">
        <v>0.26</v>
      </c>
      <c r="AQ14" s="2">
        <v>6</v>
      </c>
      <c r="AR14" s="1">
        <v>0</v>
      </c>
      <c r="AS14" s="1">
        <v>1</v>
      </c>
      <c r="AT14" s="1">
        <v>4</v>
      </c>
      <c r="AU14" s="1">
        <v>6</v>
      </c>
      <c r="BB14" s="2">
        <v>38</v>
      </c>
      <c r="BC14" s="2">
        <v>3.64</v>
      </c>
      <c r="BD14" s="2">
        <v>33</v>
      </c>
      <c r="BE14" s="2">
        <v>4.97</v>
      </c>
      <c r="BF14" s="1">
        <v>31</v>
      </c>
      <c r="BG14" s="2">
        <v>7</v>
      </c>
      <c r="BH14" s="2">
        <v>0</v>
      </c>
      <c r="BI14" s="2">
        <v>17</v>
      </c>
      <c r="BJ14" s="2">
        <v>113</v>
      </c>
      <c r="BK14" s="2">
        <v>0</v>
      </c>
      <c r="BL14" s="2">
        <v>0</v>
      </c>
      <c r="BM14" s="2">
        <v>0</v>
      </c>
      <c r="BN14" s="2">
        <v>0</v>
      </c>
      <c r="BO14" s="2" t="s">
        <v>210</v>
      </c>
      <c r="BP14" s="2">
        <v>1</v>
      </c>
      <c r="BQ14" s="2">
        <v>0</v>
      </c>
      <c r="BR14" s="2">
        <v>60</v>
      </c>
      <c r="BS14" s="2">
        <v>303832</v>
      </c>
      <c r="BT14" s="2">
        <v>0</v>
      </c>
      <c r="BU14" s="2" t="s">
        <v>402</v>
      </c>
      <c r="BV14" s="2">
        <v>0</v>
      </c>
      <c r="BW14" s="2">
        <v>1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5">
        <v>0.95</v>
      </c>
      <c r="CH14" s="5">
        <v>0.71</v>
      </c>
    </row>
    <row r="15" spans="1:86" x14ac:dyDescent="0.55000000000000004">
      <c r="A15" s="1">
        <v>69564</v>
      </c>
      <c r="B15" s="1">
        <v>114.2</v>
      </c>
      <c r="C15" s="1">
        <v>502601</v>
      </c>
      <c r="D15" s="1">
        <v>3931</v>
      </c>
      <c r="E15" s="1">
        <v>2514</v>
      </c>
      <c r="F15" s="1">
        <v>125368</v>
      </c>
      <c r="G15" s="1">
        <v>1960</v>
      </c>
      <c r="M15" s="1">
        <v>128</v>
      </c>
      <c r="N15" s="1">
        <v>50</v>
      </c>
      <c r="O15" s="1">
        <v>22</v>
      </c>
      <c r="P15" s="1">
        <v>2.08</v>
      </c>
      <c r="Q15" s="1">
        <v>68</v>
      </c>
      <c r="AH15" s="1">
        <v>13.33</v>
      </c>
      <c r="AI15" s="1">
        <v>106</v>
      </c>
      <c r="AJ15" s="1">
        <v>67</v>
      </c>
      <c r="AK15" s="2">
        <v>6.585</v>
      </c>
      <c r="AL15" s="2">
        <v>14.9</v>
      </c>
      <c r="AM15" s="2">
        <v>2.7629999999999999</v>
      </c>
      <c r="AN15" s="2">
        <v>1.91</v>
      </c>
      <c r="AO15" s="2">
        <v>3.17</v>
      </c>
      <c r="AP15" s="1">
        <v>0.27</v>
      </c>
      <c r="AQ15" s="2">
        <v>6</v>
      </c>
      <c r="AR15" s="1">
        <v>1</v>
      </c>
      <c r="AS15" s="1">
        <v>1</v>
      </c>
      <c r="AT15" s="1">
        <v>10</v>
      </c>
      <c r="AU15" s="1">
        <v>38</v>
      </c>
      <c r="BB15" s="2">
        <v>38</v>
      </c>
      <c r="BC15" s="2">
        <v>5.09</v>
      </c>
      <c r="BD15" s="2">
        <v>25</v>
      </c>
      <c r="BE15" s="2">
        <v>4.99</v>
      </c>
      <c r="BF15" s="1">
        <v>31</v>
      </c>
      <c r="BG15" s="2">
        <v>7</v>
      </c>
      <c r="BH15" s="2">
        <v>1</v>
      </c>
      <c r="BI15" s="2">
        <v>17</v>
      </c>
      <c r="BJ15" s="2">
        <v>120</v>
      </c>
      <c r="BK15" s="2">
        <v>0</v>
      </c>
      <c r="BL15" s="2">
        <v>0</v>
      </c>
      <c r="BM15" s="2">
        <v>0</v>
      </c>
      <c r="BN15" s="2">
        <v>0</v>
      </c>
      <c r="BO15" s="2" t="s">
        <v>210</v>
      </c>
      <c r="BP15" s="2">
        <v>1</v>
      </c>
      <c r="BQ15" s="2">
        <v>0</v>
      </c>
      <c r="BR15" s="2">
        <v>122</v>
      </c>
      <c r="BS15" s="2">
        <v>325421</v>
      </c>
      <c r="BT15" s="2">
        <v>0</v>
      </c>
      <c r="BU15" s="2" t="s">
        <v>198</v>
      </c>
      <c r="BV15" s="2">
        <v>0</v>
      </c>
      <c r="BW15" s="2">
        <v>0</v>
      </c>
      <c r="BX15" s="2">
        <v>1</v>
      </c>
      <c r="BY15" s="2">
        <v>0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5">
        <v>1</v>
      </c>
      <c r="CH15" s="5">
        <v>0.83</v>
      </c>
    </row>
    <row r="16" spans="1:86" x14ac:dyDescent="0.55000000000000004">
      <c r="A16" s="1">
        <v>69331</v>
      </c>
      <c r="B16" s="1">
        <v>115.7</v>
      </c>
      <c r="C16" s="1">
        <v>518173</v>
      </c>
      <c r="D16" s="1">
        <v>4806</v>
      </c>
      <c r="E16" s="1">
        <v>2572</v>
      </c>
      <c r="F16" s="1">
        <v>127852</v>
      </c>
      <c r="G16" s="1">
        <v>1961</v>
      </c>
      <c r="M16" s="1">
        <v>123</v>
      </c>
      <c r="N16" s="1">
        <v>69</v>
      </c>
      <c r="O16" s="1">
        <v>13</v>
      </c>
      <c r="P16" s="1">
        <v>1.7</v>
      </c>
      <c r="Q16" s="1">
        <v>69</v>
      </c>
      <c r="AH16" s="1">
        <v>13.58</v>
      </c>
      <c r="AI16" s="1">
        <v>105</v>
      </c>
      <c r="AJ16" s="1">
        <v>81</v>
      </c>
      <c r="AP16" s="1">
        <v>0.27</v>
      </c>
      <c r="AQ16" s="2">
        <v>6</v>
      </c>
      <c r="AR16" s="1">
        <v>1</v>
      </c>
      <c r="AS16" s="1">
        <v>1</v>
      </c>
      <c r="AT16" s="1">
        <v>8</v>
      </c>
      <c r="AU16" s="1">
        <v>15</v>
      </c>
      <c r="BB16" s="2">
        <v>43</v>
      </c>
      <c r="BC16" s="2">
        <v>4.6100000000000003</v>
      </c>
      <c r="BD16" s="2">
        <v>42</v>
      </c>
      <c r="BE16" s="2">
        <v>4.8899999999999997</v>
      </c>
      <c r="BF16" s="1">
        <v>32</v>
      </c>
      <c r="BG16" s="2">
        <v>8</v>
      </c>
      <c r="BH16" s="2">
        <v>0</v>
      </c>
      <c r="BI16" s="2">
        <v>17</v>
      </c>
      <c r="BJ16" s="2">
        <v>119</v>
      </c>
      <c r="BK16" s="2">
        <v>0</v>
      </c>
      <c r="BL16" s="2">
        <v>0</v>
      </c>
      <c r="BM16" s="2">
        <v>0</v>
      </c>
      <c r="BN16" s="2">
        <v>0</v>
      </c>
      <c r="BO16" s="2" t="s">
        <v>499</v>
      </c>
      <c r="BP16" s="2">
        <v>0</v>
      </c>
      <c r="BQ16" s="2">
        <v>0</v>
      </c>
      <c r="BR16" s="2">
        <v>191</v>
      </c>
      <c r="BS16" s="2">
        <v>312242</v>
      </c>
      <c r="BT16" s="2">
        <v>0</v>
      </c>
      <c r="BU16" s="2" t="s">
        <v>85</v>
      </c>
      <c r="BV16" s="2">
        <v>0</v>
      </c>
      <c r="BW16" s="2">
        <v>0</v>
      </c>
      <c r="BX16" s="2">
        <v>0</v>
      </c>
      <c r="BY16" s="2">
        <v>1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5">
        <v>1.52</v>
      </c>
      <c r="CH16" s="5">
        <v>1.44</v>
      </c>
    </row>
    <row r="17" spans="1:86" x14ac:dyDescent="0.55000000000000004">
      <c r="A17" s="1">
        <v>70551</v>
      </c>
      <c r="B17" s="1">
        <v>116.9</v>
      </c>
      <c r="C17" s="1">
        <v>554894</v>
      </c>
      <c r="D17" s="1">
        <v>4007</v>
      </c>
      <c r="E17" s="1">
        <v>2827</v>
      </c>
      <c r="F17" s="1">
        <v>130081</v>
      </c>
      <c r="G17" s="1">
        <v>1962</v>
      </c>
      <c r="M17" s="1">
        <v>116</v>
      </c>
      <c r="N17" s="1">
        <v>59</v>
      </c>
      <c r="O17" s="1">
        <v>9</v>
      </c>
      <c r="P17" s="1">
        <v>1.74</v>
      </c>
      <c r="Q17" s="1">
        <v>55</v>
      </c>
      <c r="AH17" s="1">
        <v>13.83</v>
      </c>
      <c r="AI17" s="1">
        <v>117</v>
      </c>
      <c r="AJ17" s="1">
        <v>88</v>
      </c>
      <c r="AP17" s="1">
        <v>0.27</v>
      </c>
      <c r="AQ17" s="2">
        <v>6</v>
      </c>
      <c r="AR17" s="1">
        <v>0</v>
      </c>
      <c r="AS17" s="1">
        <v>1</v>
      </c>
      <c r="AT17" s="1">
        <v>4</v>
      </c>
      <c r="AU17" s="1">
        <v>13</v>
      </c>
      <c r="BB17" s="2">
        <v>39</v>
      </c>
      <c r="BC17" s="2">
        <v>4.7300000000000004</v>
      </c>
      <c r="BD17" s="2">
        <v>35</v>
      </c>
      <c r="BE17" s="2">
        <v>4.09</v>
      </c>
      <c r="BF17" s="1">
        <v>35</v>
      </c>
      <c r="BG17" s="2">
        <v>8</v>
      </c>
      <c r="BH17" s="2">
        <v>1</v>
      </c>
      <c r="BI17" s="2">
        <v>17</v>
      </c>
      <c r="BJ17" s="2">
        <v>142</v>
      </c>
      <c r="BK17" s="2">
        <v>0</v>
      </c>
      <c r="BL17" s="2">
        <v>0</v>
      </c>
      <c r="BM17" s="2">
        <v>1</v>
      </c>
      <c r="BN17" s="2">
        <v>0</v>
      </c>
      <c r="BO17" s="2" t="s">
        <v>210</v>
      </c>
      <c r="BP17" s="2">
        <v>1</v>
      </c>
      <c r="BQ17" s="2">
        <v>0</v>
      </c>
      <c r="BR17" s="2">
        <v>108</v>
      </c>
      <c r="BS17" s="2">
        <v>165597</v>
      </c>
      <c r="BT17" s="2">
        <v>0</v>
      </c>
      <c r="BU17" s="2" t="s">
        <v>108</v>
      </c>
      <c r="BV17" s="2">
        <v>0</v>
      </c>
      <c r="BW17" s="2">
        <v>0</v>
      </c>
      <c r="BX17" s="2">
        <v>0</v>
      </c>
      <c r="BY17" s="2">
        <v>0</v>
      </c>
      <c r="BZ17" s="2">
        <v>1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5">
        <v>1.56</v>
      </c>
      <c r="CH17" s="5">
        <v>1.26</v>
      </c>
    </row>
    <row r="18" spans="1:86" x14ac:dyDescent="0.55000000000000004">
      <c r="M18" s="1">
        <v>125</v>
      </c>
      <c r="N18" s="1">
        <v>27</v>
      </c>
      <c r="O18" s="1">
        <v>50</v>
      </c>
      <c r="P18" s="1">
        <v>1.9</v>
      </c>
      <c r="Q18" s="1">
        <v>67</v>
      </c>
      <c r="AH18" s="1">
        <v>14.08</v>
      </c>
      <c r="AI18" s="1">
        <v>98</v>
      </c>
      <c r="AJ18" s="1">
        <v>79</v>
      </c>
      <c r="AP18" s="1">
        <v>0.28000000000000003</v>
      </c>
      <c r="AQ18" s="2">
        <v>7</v>
      </c>
      <c r="AR18" s="1">
        <v>1</v>
      </c>
      <c r="AS18" s="1">
        <v>1</v>
      </c>
      <c r="AT18" s="1">
        <v>4</v>
      </c>
      <c r="AU18" s="1">
        <v>15</v>
      </c>
      <c r="BB18" s="2">
        <v>38</v>
      </c>
      <c r="BC18" s="2">
        <v>4.58</v>
      </c>
      <c r="BD18" s="2">
        <v>35</v>
      </c>
      <c r="BE18" s="2">
        <v>4.24</v>
      </c>
      <c r="BF18" s="1">
        <v>42</v>
      </c>
      <c r="BG18" s="2">
        <v>9</v>
      </c>
      <c r="BH18" s="2">
        <v>0</v>
      </c>
      <c r="BI18" s="2">
        <v>18</v>
      </c>
      <c r="BJ18" s="2">
        <v>100</v>
      </c>
      <c r="BK18" s="2">
        <v>1</v>
      </c>
      <c r="BL18" s="2">
        <v>0</v>
      </c>
      <c r="BM18" s="2">
        <v>0</v>
      </c>
      <c r="BN18" s="2">
        <v>0</v>
      </c>
      <c r="BO18" s="2" t="s">
        <v>241</v>
      </c>
      <c r="BP18" s="2">
        <v>0</v>
      </c>
      <c r="BQ18" s="2">
        <v>1</v>
      </c>
      <c r="BR18" s="2">
        <v>74</v>
      </c>
      <c r="BS18" s="2">
        <v>54396</v>
      </c>
      <c r="BT18" s="2">
        <v>0</v>
      </c>
      <c r="BU18" s="2" t="s">
        <v>14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1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5">
        <v>2.4500000000000002</v>
      </c>
      <c r="CH18" s="5">
        <v>2.36</v>
      </c>
    </row>
    <row r="19" spans="1:86" x14ac:dyDescent="0.55000000000000004">
      <c r="M19" s="1">
        <v>126</v>
      </c>
      <c r="N19" s="1">
        <v>60</v>
      </c>
      <c r="O19" s="1">
        <v>12</v>
      </c>
      <c r="P19" s="1">
        <v>1.79</v>
      </c>
      <c r="Q19" s="1">
        <v>67</v>
      </c>
      <c r="AH19" s="1">
        <v>14.33</v>
      </c>
      <c r="AI19" s="1">
        <v>97</v>
      </c>
      <c r="AJ19" s="1">
        <v>90</v>
      </c>
      <c r="AP19" s="1">
        <v>0.28000000000000003</v>
      </c>
      <c r="AQ19" s="2">
        <v>7</v>
      </c>
      <c r="AR19" s="1">
        <v>0</v>
      </c>
      <c r="AS19" s="1">
        <v>1</v>
      </c>
      <c r="AT19" s="1">
        <v>3</v>
      </c>
      <c r="AU19" s="1">
        <v>7</v>
      </c>
      <c r="BB19" s="2">
        <v>42</v>
      </c>
      <c r="BC19" s="2">
        <v>5.12</v>
      </c>
      <c r="BD19" s="2">
        <v>41</v>
      </c>
      <c r="BE19" s="2">
        <v>3.88</v>
      </c>
      <c r="BF19" s="1">
        <v>43</v>
      </c>
      <c r="BG19" s="2">
        <v>9</v>
      </c>
      <c r="BH19" s="2">
        <v>1</v>
      </c>
      <c r="BI19" s="2">
        <v>18</v>
      </c>
      <c r="BJ19" s="2">
        <v>148</v>
      </c>
      <c r="BK19" s="2">
        <v>0</v>
      </c>
      <c r="BL19" s="2">
        <v>0</v>
      </c>
      <c r="BM19" s="2">
        <v>0</v>
      </c>
      <c r="BN19" s="2">
        <v>0</v>
      </c>
      <c r="BO19" s="2" t="s">
        <v>499</v>
      </c>
      <c r="BP19" s="2">
        <v>0</v>
      </c>
      <c r="BQ19" s="2">
        <v>0</v>
      </c>
      <c r="BR19" s="2">
        <v>88</v>
      </c>
      <c r="BS19" s="2">
        <v>40716</v>
      </c>
      <c r="BT19" s="2">
        <v>0</v>
      </c>
      <c r="BU19" s="2" t="s">
        <v>361</v>
      </c>
      <c r="BV19" s="2">
        <v>0</v>
      </c>
      <c r="BW19" s="2">
        <v>0</v>
      </c>
      <c r="BX19" s="2">
        <v>0</v>
      </c>
      <c r="BY19" s="2">
        <v>0</v>
      </c>
      <c r="BZ19" s="2">
        <v>0</v>
      </c>
      <c r="CA19" s="2">
        <v>0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5">
        <v>1.85</v>
      </c>
      <c r="CH19" s="5">
        <v>1.9</v>
      </c>
    </row>
    <row r="20" spans="1:86" x14ac:dyDescent="0.55000000000000004">
      <c r="M20" s="1">
        <v>122</v>
      </c>
      <c r="N20" s="1">
        <v>71</v>
      </c>
      <c r="O20" s="1">
        <v>11</v>
      </c>
      <c r="P20" s="1">
        <v>2.11</v>
      </c>
      <c r="Q20" s="1">
        <v>68</v>
      </c>
      <c r="AH20" s="1">
        <v>14.58</v>
      </c>
      <c r="AI20" s="1">
        <v>120</v>
      </c>
      <c r="AJ20" s="1">
        <v>113</v>
      </c>
      <c r="AP20" s="1">
        <v>0.28000000000000003</v>
      </c>
      <c r="AQ20" s="2">
        <v>7</v>
      </c>
      <c r="AR20" s="1">
        <v>1</v>
      </c>
      <c r="AS20" s="1">
        <v>1</v>
      </c>
      <c r="AT20" s="1">
        <v>10</v>
      </c>
      <c r="AU20" s="1">
        <v>48</v>
      </c>
      <c r="BB20" s="2">
        <v>43</v>
      </c>
      <c r="BC20" s="2">
        <v>3.89</v>
      </c>
      <c r="BD20" s="2">
        <v>38</v>
      </c>
      <c r="BE20" s="2">
        <v>4.8499999999999996</v>
      </c>
      <c r="BF20" s="1">
        <v>46</v>
      </c>
      <c r="BG20" s="2">
        <v>10</v>
      </c>
      <c r="BH20" s="2">
        <v>0</v>
      </c>
      <c r="BI20" s="2">
        <v>18</v>
      </c>
      <c r="BJ20" s="2">
        <v>90</v>
      </c>
      <c r="BK20" s="2">
        <v>1</v>
      </c>
      <c r="BL20" s="2">
        <v>0</v>
      </c>
      <c r="BM20" s="2">
        <v>0</v>
      </c>
      <c r="BN20" s="2">
        <v>1</v>
      </c>
      <c r="BO20" s="2" t="s">
        <v>241</v>
      </c>
      <c r="BP20" s="2">
        <v>0</v>
      </c>
      <c r="BQ20" s="2">
        <v>1</v>
      </c>
      <c r="BR20" s="2">
        <v>120</v>
      </c>
      <c r="BS20" s="2">
        <v>33801</v>
      </c>
      <c r="BT20" s="2">
        <v>0</v>
      </c>
      <c r="BU20" s="2" t="s">
        <v>228</v>
      </c>
      <c r="BV20" s="2">
        <v>0</v>
      </c>
      <c r="BW20" s="2">
        <v>0</v>
      </c>
      <c r="BX20" s="2">
        <v>0</v>
      </c>
      <c r="BY20" s="2">
        <v>0</v>
      </c>
      <c r="BZ20" s="2">
        <v>0</v>
      </c>
      <c r="CA20" s="2">
        <v>0</v>
      </c>
      <c r="CB20" s="2">
        <v>0</v>
      </c>
      <c r="CC20" s="2">
        <v>1</v>
      </c>
      <c r="CD20" s="2">
        <v>0</v>
      </c>
      <c r="CE20" s="2">
        <v>0</v>
      </c>
      <c r="CF20" s="2">
        <v>0</v>
      </c>
      <c r="CG20" s="5">
        <v>0.89</v>
      </c>
      <c r="CH20" s="5">
        <v>0.95</v>
      </c>
    </row>
    <row r="21" spans="1:86" x14ac:dyDescent="0.55000000000000004">
      <c r="M21" s="1">
        <v>126</v>
      </c>
      <c r="N21" s="1">
        <v>88</v>
      </c>
      <c r="O21" s="1">
        <v>8</v>
      </c>
      <c r="P21" s="1">
        <v>1.72</v>
      </c>
      <c r="Q21" s="1">
        <v>59</v>
      </c>
      <c r="AH21" s="1">
        <v>14.83</v>
      </c>
      <c r="AI21" s="1">
        <v>102</v>
      </c>
      <c r="AJ21" s="1">
        <v>95</v>
      </c>
      <c r="AP21" s="1">
        <v>0.28000000000000003</v>
      </c>
      <c r="AQ21" s="2">
        <v>8</v>
      </c>
      <c r="AR21" s="1">
        <v>1</v>
      </c>
      <c r="AS21" s="1">
        <v>1</v>
      </c>
      <c r="AT21" s="1">
        <v>14</v>
      </c>
      <c r="AU21" s="1">
        <v>29</v>
      </c>
      <c r="BB21" s="2">
        <v>43</v>
      </c>
      <c r="BC21" s="2">
        <v>4.62</v>
      </c>
      <c r="BD21" s="2">
        <v>41</v>
      </c>
      <c r="BE21" s="2">
        <v>4.79</v>
      </c>
      <c r="BF21" s="1">
        <v>48</v>
      </c>
      <c r="BG21" s="2">
        <v>10</v>
      </c>
      <c r="BH21" s="2">
        <v>1</v>
      </c>
      <c r="BI21" s="2">
        <v>18</v>
      </c>
      <c r="BJ21" s="2">
        <v>110</v>
      </c>
      <c r="BK21" s="2">
        <v>1</v>
      </c>
      <c r="BL21" s="2">
        <v>1</v>
      </c>
      <c r="BM21" s="2">
        <v>0</v>
      </c>
      <c r="BN21" s="2">
        <v>0</v>
      </c>
      <c r="BO21" s="2" t="s">
        <v>210</v>
      </c>
      <c r="BP21" s="2">
        <v>1</v>
      </c>
      <c r="BQ21" s="2">
        <v>0</v>
      </c>
      <c r="BR21" s="2">
        <v>141</v>
      </c>
      <c r="BS21" s="2">
        <v>26618</v>
      </c>
      <c r="BT21" s="2">
        <v>0</v>
      </c>
      <c r="BU21" s="2" t="s">
        <v>44</v>
      </c>
      <c r="BV21" s="2">
        <v>0</v>
      </c>
      <c r="BW21" s="2">
        <v>0</v>
      </c>
      <c r="BX21" s="2">
        <v>0</v>
      </c>
      <c r="BY21" s="2">
        <v>0</v>
      </c>
      <c r="BZ21" s="2">
        <v>0</v>
      </c>
      <c r="CA21" s="2">
        <v>0</v>
      </c>
      <c r="CB21" s="2">
        <v>0</v>
      </c>
      <c r="CC21" s="2">
        <v>0</v>
      </c>
      <c r="CD21" s="2">
        <v>1</v>
      </c>
      <c r="CE21" s="2">
        <v>0</v>
      </c>
      <c r="CF21" s="2">
        <v>0</v>
      </c>
      <c r="CG21" s="5">
        <v>0.82</v>
      </c>
      <c r="CH21" s="5">
        <v>0.77</v>
      </c>
    </row>
    <row r="22" spans="1:86" x14ac:dyDescent="0.55000000000000004">
      <c r="M22" s="1">
        <v>127</v>
      </c>
      <c r="N22" s="1">
        <v>63</v>
      </c>
      <c r="O22" s="1">
        <v>26</v>
      </c>
      <c r="P22" s="1">
        <v>1.74</v>
      </c>
      <c r="Q22" s="1">
        <v>68</v>
      </c>
      <c r="AH22" s="1">
        <v>15.08</v>
      </c>
      <c r="AI22" s="1">
        <v>122</v>
      </c>
      <c r="AJ22" s="1">
        <v>117</v>
      </c>
      <c r="AP22" s="1">
        <v>0.28000000000000003</v>
      </c>
      <c r="AQ22" s="2">
        <v>8</v>
      </c>
      <c r="AR22" s="1">
        <v>1</v>
      </c>
      <c r="AS22" s="1">
        <v>0</v>
      </c>
      <c r="AT22" s="1">
        <v>18</v>
      </c>
      <c r="AU22" s="1">
        <v>14</v>
      </c>
      <c r="BB22" s="2">
        <v>37</v>
      </c>
      <c r="BC22" s="2">
        <v>4.3</v>
      </c>
      <c r="BD22" s="2">
        <v>36</v>
      </c>
      <c r="BE22" s="2">
        <v>4.3600000000000003</v>
      </c>
      <c r="BF22" s="1">
        <v>52</v>
      </c>
      <c r="BG22" s="2">
        <v>11</v>
      </c>
      <c r="BH22" s="2">
        <v>0</v>
      </c>
      <c r="BI22" s="2">
        <v>19</v>
      </c>
      <c r="BJ22" s="2">
        <v>150</v>
      </c>
      <c r="BK22" s="2">
        <v>0</v>
      </c>
      <c r="BL22" s="2">
        <v>0</v>
      </c>
      <c r="BM22" s="2">
        <v>0</v>
      </c>
      <c r="BN22" s="2">
        <v>0</v>
      </c>
      <c r="BO22" s="2" t="s">
        <v>499</v>
      </c>
      <c r="BP22" s="2">
        <v>0</v>
      </c>
      <c r="BQ22" s="2">
        <v>0</v>
      </c>
      <c r="BR22" s="2">
        <v>108</v>
      </c>
      <c r="BS22" s="2">
        <v>17404</v>
      </c>
      <c r="BT22" s="2">
        <v>0</v>
      </c>
      <c r="BU22" s="2" t="s">
        <v>465</v>
      </c>
      <c r="BV22" s="2">
        <v>0</v>
      </c>
      <c r="BW22" s="2">
        <v>0</v>
      </c>
      <c r="BX22" s="2">
        <v>0</v>
      </c>
      <c r="BY22" s="2">
        <v>0</v>
      </c>
      <c r="BZ22" s="2">
        <v>0</v>
      </c>
      <c r="CA22" s="2">
        <v>0</v>
      </c>
      <c r="CB22" s="2">
        <v>0</v>
      </c>
      <c r="CC22" s="2">
        <v>0</v>
      </c>
      <c r="CD22" s="2">
        <v>0</v>
      </c>
      <c r="CE22" s="2">
        <v>1</v>
      </c>
      <c r="CF22" s="2">
        <v>0</v>
      </c>
      <c r="CG22" s="5">
        <v>1.01</v>
      </c>
      <c r="CH22" s="5">
        <v>0.82</v>
      </c>
    </row>
    <row r="23" spans="1:86" x14ac:dyDescent="0.55000000000000004">
      <c r="M23" s="1">
        <v>86</v>
      </c>
      <c r="N23" s="1">
        <v>88</v>
      </c>
      <c r="O23" s="1">
        <v>16</v>
      </c>
      <c r="P23" s="1">
        <v>1.6</v>
      </c>
      <c r="Q23" s="1">
        <v>63</v>
      </c>
      <c r="AH23" s="1">
        <v>15.33</v>
      </c>
      <c r="AI23" s="1">
        <v>111</v>
      </c>
      <c r="AJ23" s="1">
        <v>107</v>
      </c>
      <c r="AP23" s="1">
        <v>0.28000000000000003</v>
      </c>
      <c r="AQ23" s="2">
        <v>8</v>
      </c>
      <c r="AR23" s="1">
        <v>1</v>
      </c>
      <c r="AS23" s="1">
        <v>1</v>
      </c>
      <c r="AT23" s="1">
        <v>6</v>
      </c>
      <c r="AU23" s="1">
        <v>6</v>
      </c>
      <c r="BB23" s="2">
        <v>50</v>
      </c>
      <c r="BC23" s="2">
        <v>2.7</v>
      </c>
      <c r="BD23" s="2">
        <v>36</v>
      </c>
      <c r="BE23" s="2">
        <v>4.0199999999999996</v>
      </c>
      <c r="BF23" s="1">
        <v>54</v>
      </c>
      <c r="BG23" s="2">
        <v>11</v>
      </c>
      <c r="BH23" s="2">
        <v>1</v>
      </c>
      <c r="BI23" s="2">
        <v>19</v>
      </c>
      <c r="BJ23" s="2">
        <v>91</v>
      </c>
      <c r="BK23" s="2">
        <v>1</v>
      </c>
      <c r="BL23" s="2">
        <v>1</v>
      </c>
      <c r="BM23" s="2">
        <v>0</v>
      </c>
      <c r="BN23" s="2">
        <v>1</v>
      </c>
      <c r="BO23" s="2" t="s">
        <v>241</v>
      </c>
      <c r="BP23" s="2">
        <v>0</v>
      </c>
      <c r="BQ23" s="2">
        <v>1</v>
      </c>
      <c r="BR23" s="2">
        <v>99</v>
      </c>
      <c r="BS23" s="2">
        <v>14146</v>
      </c>
      <c r="BT23" s="2">
        <v>0</v>
      </c>
      <c r="BU23" s="2" t="s">
        <v>207</v>
      </c>
      <c r="BV23" s="2">
        <v>0</v>
      </c>
      <c r="BW23" s="2">
        <v>0</v>
      </c>
      <c r="BX23" s="2">
        <v>0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1</v>
      </c>
      <c r="CG23" s="5">
        <v>0.96</v>
      </c>
      <c r="CH23" s="5">
        <v>0.88</v>
      </c>
    </row>
    <row r="24" spans="1:86" x14ac:dyDescent="0.55000000000000004">
      <c r="M24" s="1">
        <v>142</v>
      </c>
      <c r="N24" s="1">
        <v>53</v>
      </c>
      <c r="O24" s="1">
        <v>23</v>
      </c>
      <c r="P24" s="1">
        <v>2.15</v>
      </c>
      <c r="Q24" s="1">
        <v>65</v>
      </c>
      <c r="AH24" s="1">
        <v>15.58</v>
      </c>
      <c r="AI24" s="1">
        <v>94</v>
      </c>
      <c r="AJ24" s="1">
        <v>92</v>
      </c>
      <c r="AP24" s="1">
        <v>0.28000000000000003</v>
      </c>
      <c r="AQ24" s="2">
        <v>8</v>
      </c>
      <c r="AR24" s="1">
        <v>0</v>
      </c>
      <c r="AS24" s="1">
        <v>0</v>
      </c>
      <c r="AT24" s="1">
        <v>15</v>
      </c>
      <c r="AU24" s="1">
        <v>1</v>
      </c>
      <c r="BB24" s="2">
        <v>50</v>
      </c>
      <c r="BC24" s="2">
        <v>3.5</v>
      </c>
      <c r="BD24" s="2">
        <v>41</v>
      </c>
      <c r="BE24" s="2">
        <v>3.77</v>
      </c>
      <c r="BF24" s="1">
        <v>54</v>
      </c>
      <c r="BG24" s="2">
        <v>12</v>
      </c>
      <c r="BH24" s="2">
        <v>0</v>
      </c>
      <c r="BI24" s="2">
        <v>19</v>
      </c>
      <c r="BJ24" s="2">
        <v>115</v>
      </c>
      <c r="BK24" s="2">
        <v>0</v>
      </c>
      <c r="BL24" s="2">
        <v>0</v>
      </c>
      <c r="BM24" s="2">
        <v>0</v>
      </c>
      <c r="BN24" s="2">
        <v>0</v>
      </c>
      <c r="BO24" s="2" t="s">
        <v>499</v>
      </c>
      <c r="BP24" s="2">
        <v>0</v>
      </c>
      <c r="BQ24" s="2">
        <v>0</v>
      </c>
      <c r="CG24" s="5">
        <v>3.38</v>
      </c>
      <c r="CH24" s="5">
        <v>3.42</v>
      </c>
    </row>
    <row r="25" spans="1:86" x14ac:dyDescent="0.55000000000000004">
      <c r="M25" s="1">
        <v>132</v>
      </c>
      <c r="N25" s="1">
        <v>50</v>
      </c>
      <c r="O25" s="1">
        <v>7</v>
      </c>
      <c r="P25" s="1">
        <v>2.2599999999999998</v>
      </c>
      <c r="Q25" s="1">
        <v>72</v>
      </c>
      <c r="AH25" s="1">
        <v>15.83</v>
      </c>
      <c r="AI25" s="1">
        <v>114</v>
      </c>
      <c r="AJ25" s="1">
        <v>112</v>
      </c>
      <c r="AP25" s="1">
        <v>0.28000000000000003</v>
      </c>
      <c r="AQ25" s="2">
        <v>8</v>
      </c>
      <c r="AR25" s="1">
        <v>0</v>
      </c>
      <c r="AS25" s="1">
        <v>1</v>
      </c>
      <c r="AT25" s="1">
        <v>1</v>
      </c>
      <c r="AU25" s="1">
        <v>12</v>
      </c>
      <c r="BB25" s="2">
        <v>45</v>
      </c>
      <c r="BC25" s="2">
        <v>5.0599999999999996</v>
      </c>
      <c r="BD25" s="2">
        <v>41</v>
      </c>
      <c r="BE25" s="2">
        <v>4.22</v>
      </c>
      <c r="BF25" s="1">
        <v>63</v>
      </c>
      <c r="BG25" s="2">
        <v>12</v>
      </c>
      <c r="BH25" s="2">
        <v>1</v>
      </c>
      <c r="BI25" s="2">
        <v>19</v>
      </c>
      <c r="BJ25" s="2">
        <v>102</v>
      </c>
      <c r="BK25" s="2">
        <v>0</v>
      </c>
      <c r="BL25" s="2">
        <v>0</v>
      </c>
      <c r="BM25" s="2">
        <v>0</v>
      </c>
      <c r="BN25" s="2">
        <v>0</v>
      </c>
      <c r="BO25" s="2" t="s">
        <v>241</v>
      </c>
      <c r="BP25" s="2">
        <v>0</v>
      </c>
      <c r="BQ25" s="2">
        <v>1</v>
      </c>
      <c r="CG25" s="5">
        <v>1.31</v>
      </c>
      <c r="CH25" s="5">
        <v>1.1499999999999999</v>
      </c>
    </row>
    <row r="26" spans="1:86" x14ac:dyDescent="0.55000000000000004">
      <c r="M26" s="1">
        <v>87</v>
      </c>
      <c r="N26" s="1">
        <v>111</v>
      </c>
      <c r="O26" s="1">
        <v>11</v>
      </c>
      <c r="P26" s="1">
        <v>1.65</v>
      </c>
      <c r="Q26" s="1">
        <v>58</v>
      </c>
      <c r="AH26" s="1">
        <v>17.579999999999998</v>
      </c>
      <c r="AI26" s="1">
        <v>1049</v>
      </c>
      <c r="AJ26" s="1">
        <v>1049</v>
      </c>
      <c r="AP26" s="1">
        <v>0.28999999999999998</v>
      </c>
      <c r="AQ26" s="2">
        <v>8</v>
      </c>
      <c r="AR26" s="1">
        <v>0</v>
      </c>
      <c r="AS26" s="1">
        <v>1</v>
      </c>
      <c r="AT26" s="1">
        <v>5</v>
      </c>
      <c r="AU26" s="1">
        <v>6</v>
      </c>
      <c r="BB26" s="2">
        <v>48</v>
      </c>
      <c r="BC26" s="2">
        <v>4.0599999999999996</v>
      </c>
      <c r="BD26" s="2">
        <v>37</v>
      </c>
      <c r="BE26" s="2">
        <v>4.9400000000000004</v>
      </c>
      <c r="BF26" s="1">
        <v>67</v>
      </c>
      <c r="BG26" s="2">
        <v>13</v>
      </c>
      <c r="BH26" s="2">
        <v>0</v>
      </c>
      <c r="BI26" s="2">
        <v>19</v>
      </c>
      <c r="BJ26" s="2">
        <v>235</v>
      </c>
      <c r="BK26" s="2">
        <v>1</v>
      </c>
      <c r="BL26" s="2">
        <v>0</v>
      </c>
      <c r="BM26" s="2">
        <v>1</v>
      </c>
      <c r="BN26" s="2">
        <v>0</v>
      </c>
      <c r="BO26" s="2" t="s">
        <v>241</v>
      </c>
      <c r="BP26" s="2">
        <v>0</v>
      </c>
      <c r="BQ26" s="2">
        <v>1</v>
      </c>
      <c r="CG26" s="5">
        <v>1.1000000000000001</v>
      </c>
      <c r="CH26" s="5">
        <v>0.96</v>
      </c>
    </row>
    <row r="27" spans="1:86" x14ac:dyDescent="0.55000000000000004">
      <c r="M27" s="1">
        <v>123</v>
      </c>
      <c r="N27" s="1">
        <v>59</v>
      </c>
      <c r="O27" s="1">
        <v>8</v>
      </c>
      <c r="P27" s="1">
        <v>1.63</v>
      </c>
      <c r="Q27" s="1">
        <v>69</v>
      </c>
      <c r="AP27" s="1">
        <v>0.28999999999999998</v>
      </c>
      <c r="AQ27" s="2">
        <v>9</v>
      </c>
      <c r="AR27" s="1">
        <v>0</v>
      </c>
      <c r="AS27" s="1">
        <v>1</v>
      </c>
      <c r="AT27" s="1">
        <v>2</v>
      </c>
      <c r="AU27" s="1">
        <v>15</v>
      </c>
      <c r="BB27" s="2">
        <v>51</v>
      </c>
      <c r="BC27" s="2">
        <v>4.51</v>
      </c>
      <c r="BD27" s="2">
        <v>42</v>
      </c>
      <c r="BE27" s="2">
        <v>4.04</v>
      </c>
      <c r="BF27" s="1">
        <v>83</v>
      </c>
      <c r="BG27" s="2">
        <v>13</v>
      </c>
      <c r="BH27" s="2">
        <v>1</v>
      </c>
      <c r="BI27" s="2">
        <v>19</v>
      </c>
      <c r="BJ27" s="2">
        <v>112</v>
      </c>
      <c r="BK27" s="2">
        <v>1</v>
      </c>
      <c r="BL27" s="2">
        <v>0</v>
      </c>
      <c r="BM27" s="2">
        <v>0</v>
      </c>
      <c r="BN27" s="2">
        <v>1</v>
      </c>
      <c r="BO27" s="2" t="s">
        <v>241</v>
      </c>
      <c r="BP27" s="2">
        <v>0</v>
      </c>
      <c r="BQ27" s="2">
        <v>1</v>
      </c>
      <c r="CG27" s="5">
        <v>1.26</v>
      </c>
      <c r="CH27" s="5">
        <v>1.1200000000000001</v>
      </c>
    </row>
    <row r="28" spans="1:86" x14ac:dyDescent="0.55000000000000004">
      <c r="M28" s="1">
        <v>133</v>
      </c>
      <c r="N28" s="1">
        <v>76</v>
      </c>
      <c r="O28" s="1">
        <v>14</v>
      </c>
      <c r="P28" s="1">
        <v>2.4</v>
      </c>
      <c r="Q28" s="1">
        <v>70</v>
      </c>
      <c r="AP28" s="1">
        <v>0.28999999999999998</v>
      </c>
      <c r="AQ28" s="2">
        <v>9</v>
      </c>
      <c r="AR28" s="1">
        <v>1</v>
      </c>
      <c r="AS28" s="1">
        <v>1</v>
      </c>
      <c r="AT28" s="1">
        <v>7</v>
      </c>
      <c r="AU28" s="1">
        <v>6</v>
      </c>
      <c r="BB28" s="2">
        <v>46</v>
      </c>
      <c r="BC28" s="2">
        <v>4.66</v>
      </c>
      <c r="BD28" s="2">
        <v>39</v>
      </c>
      <c r="BE28" s="2">
        <v>4.51</v>
      </c>
      <c r="BG28" s="2">
        <v>14</v>
      </c>
      <c r="BH28" s="2">
        <v>0</v>
      </c>
      <c r="BI28" s="2">
        <v>20</v>
      </c>
      <c r="BJ28" s="2">
        <v>120</v>
      </c>
      <c r="BK28" s="2">
        <v>0</v>
      </c>
      <c r="BL28" s="2">
        <v>0</v>
      </c>
      <c r="BM28" s="2">
        <v>0</v>
      </c>
      <c r="BN28" s="2">
        <v>1</v>
      </c>
      <c r="BO28" s="2" t="s">
        <v>499</v>
      </c>
      <c r="BP28" s="2">
        <v>0</v>
      </c>
      <c r="BQ28" s="2">
        <v>0</v>
      </c>
      <c r="CG28" s="5">
        <v>1.1499999999999999</v>
      </c>
      <c r="CH28" s="5">
        <v>1.02</v>
      </c>
    </row>
    <row r="29" spans="1:86" x14ac:dyDescent="0.55000000000000004">
      <c r="M29" s="1">
        <v>106</v>
      </c>
      <c r="N29" s="1">
        <v>72</v>
      </c>
      <c r="O29" s="1">
        <v>39</v>
      </c>
      <c r="P29" s="1">
        <v>2.7</v>
      </c>
      <c r="Q29" s="1">
        <v>73</v>
      </c>
      <c r="AP29" s="1">
        <v>0.28999999999999998</v>
      </c>
      <c r="AQ29" s="2">
        <v>9</v>
      </c>
      <c r="AR29" s="1">
        <v>0</v>
      </c>
      <c r="AS29" s="1">
        <v>0</v>
      </c>
      <c r="AT29" s="1">
        <v>19</v>
      </c>
      <c r="AU29" s="1">
        <v>8</v>
      </c>
      <c r="BB29" s="2">
        <v>58</v>
      </c>
      <c r="BC29" s="2">
        <v>2.88</v>
      </c>
      <c r="BD29" s="2">
        <v>41</v>
      </c>
      <c r="BE29" s="2">
        <v>4.0599999999999996</v>
      </c>
      <c r="BG29" s="2">
        <v>14</v>
      </c>
      <c r="BH29" s="2">
        <v>1</v>
      </c>
      <c r="BI29" s="2">
        <v>20</v>
      </c>
      <c r="BJ29" s="2">
        <v>150</v>
      </c>
      <c r="BK29" s="2">
        <v>1</v>
      </c>
      <c r="BL29" s="2">
        <v>0</v>
      </c>
      <c r="BM29" s="2">
        <v>0</v>
      </c>
      <c r="BN29" s="2">
        <v>0</v>
      </c>
      <c r="BO29" s="2" t="s">
        <v>241</v>
      </c>
      <c r="BP29" s="2">
        <v>0</v>
      </c>
      <c r="BQ29" s="2">
        <v>1</v>
      </c>
      <c r="CG29" s="5">
        <v>1.2</v>
      </c>
      <c r="CH29" s="5">
        <v>1.29</v>
      </c>
    </row>
    <row r="30" spans="1:86" x14ac:dyDescent="0.55000000000000004">
      <c r="M30" s="1">
        <v>103</v>
      </c>
      <c r="N30" s="1">
        <v>90</v>
      </c>
      <c r="O30" s="1">
        <v>28</v>
      </c>
      <c r="P30" s="1">
        <v>1.9</v>
      </c>
      <c r="Q30" s="1">
        <v>56</v>
      </c>
      <c r="AP30" s="1">
        <v>0.28999999999999998</v>
      </c>
      <c r="AQ30" s="2">
        <v>10</v>
      </c>
      <c r="AR30" s="1">
        <v>1</v>
      </c>
      <c r="AS30" s="1">
        <v>1</v>
      </c>
      <c r="AT30" s="1">
        <v>14</v>
      </c>
      <c r="AU30" s="1">
        <v>8</v>
      </c>
      <c r="BD30" s="2">
        <v>43</v>
      </c>
      <c r="BE30" s="2">
        <v>4.0199999999999996</v>
      </c>
      <c r="BG30" s="2">
        <v>15</v>
      </c>
      <c r="BH30" s="2">
        <v>0</v>
      </c>
      <c r="BI30" s="2">
        <v>20</v>
      </c>
      <c r="BJ30" s="2">
        <v>103</v>
      </c>
      <c r="BK30" s="2">
        <v>0</v>
      </c>
      <c r="BL30" s="2">
        <v>0</v>
      </c>
      <c r="BM30" s="2">
        <v>0</v>
      </c>
      <c r="BN30" s="2">
        <v>0</v>
      </c>
      <c r="BO30" s="2" t="s">
        <v>499</v>
      </c>
      <c r="BP30" s="2">
        <v>0</v>
      </c>
      <c r="BQ30" s="2">
        <v>0</v>
      </c>
      <c r="CG30" s="5">
        <v>1.01</v>
      </c>
      <c r="CH30" s="5">
        <v>0.87</v>
      </c>
    </row>
    <row r="31" spans="1:86" x14ac:dyDescent="0.55000000000000004">
      <c r="M31" s="1">
        <v>118</v>
      </c>
      <c r="N31" s="1">
        <v>68</v>
      </c>
      <c r="O31" s="1">
        <v>12</v>
      </c>
      <c r="P31" s="1">
        <v>2.78</v>
      </c>
      <c r="Q31" s="1">
        <v>83</v>
      </c>
      <c r="AP31" s="1">
        <v>0.28999999999999998</v>
      </c>
      <c r="AQ31" s="2">
        <v>11</v>
      </c>
      <c r="AR31" s="1">
        <v>0</v>
      </c>
      <c r="AS31" s="1">
        <v>1</v>
      </c>
      <c r="AT31" s="1">
        <v>8</v>
      </c>
      <c r="AU31" s="1">
        <v>12</v>
      </c>
      <c r="BD31" s="2">
        <v>41</v>
      </c>
      <c r="BE31" s="2">
        <v>4.99</v>
      </c>
      <c r="BG31" s="2">
        <v>15</v>
      </c>
      <c r="BH31" s="2">
        <v>1</v>
      </c>
      <c r="BI31" s="2">
        <v>20</v>
      </c>
      <c r="BJ31" s="2">
        <v>125</v>
      </c>
      <c r="BK31" s="2">
        <v>0</v>
      </c>
      <c r="BL31" s="2">
        <v>0</v>
      </c>
      <c r="BM31" s="2">
        <v>0</v>
      </c>
      <c r="BN31" s="2">
        <v>1</v>
      </c>
      <c r="BO31" s="2" t="s">
        <v>499</v>
      </c>
      <c r="BP31" s="2">
        <v>0</v>
      </c>
      <c r="BQ31" s="2">
        <v>0</v>
      </c>
      <c r="CG31" s="5">
        <v>1.33</v>
      </c>
      <c r="CH31" s="5">
        <v>1.1299999999999999</v>
      </c>
    </row>
    <row r="32" spans="1:86" x14ac:dyDescent="0.55000000000000004">
      <c r="M32" s="1">
        <v>114</v>
      </c>
      <c r="N32" s="1">
        <v>93</v>
      </c>
      <c r="O32" s="1">
        <v>60</v>
      </c>
      <c r="P32" s="1">
        <v>2.27</v>
      </c>
      <c r="Q32" s="1">
        <v>67</v>
      </c>
      <c r="AP32" s="1">
        <v>0.3</v>
      </c>
      <c r="AQ32" s="2">
        <v>11</v>
      </c>
      <c r="AR32" s="1">
        <v>0</v>
      </c>
      <c r="AS32" s="1">
        <v>0</v>
      </c>
      <c r="AT32" s="1">
        <v>15</v>
      </c>
      <c r="AU32" s="1">
        <v>15</v>
      </c>
      <c r="BD32" s="2">
        <v>48</v>
      </c>
      <c r="BE32" s="2">
        <v>3.86</v>
      </c>
      <c r="BG32" s="2">
        <v>16</v>
      </c>
      <c r="BH32" s="2">
        <v>0</v>
      </c>
      <c r="BI32" s="2">
        <v>20</v>
      </c>
      <c r="BJ32" s="2">
        <v>169</v>
      </c>
      <c r="BK32" s="2">
        <v>0</v>
      </c>
      <c r="BL32" s="2">
        <v>1</v>
      </c>
      <c r="BM32" s="2">
        <v>0</v>
      </c>
      <c r="BN32" s="2">
        <v>1</v>
      </c>
      <c r="BO32" s="2" t="s">
        <v>499</v>
      </c>
      <c r="BP32" s="2">
        <v>0</v>
      </c>
      <c r="BQ32" s="2">
        <v>0</v>
      </c>
      <c r="CG32" s="5">
        <v>0.87</v>
      </c>
      <c r="CH32" s="5">
        <v>0.82</v>
      </c>
    </row>
    <row r="33" spans="13:86" x14ac:dyDescent="0.55000000000000004">
      <c r="M33" s="1">
        <v>94</v>
      </c>
      <c r="N33" s="1">
        <v>91</v>
      </c>
      <c r="O33" s="1">
        <v>10</v>
      </c>
      <c r="P33" s="1">
        <v>1.74</v>
      </c>
      <c r="Q33" s="1">
        <v>84</v>
      </c>
      <c r="AP33" s="1">
        <v>0.3</v>
      </c>
      <c r="AQ33" s="2">
        <v>11</v>
      </c>
      <c r="AR33" s="1">
        <v>1</v>
      </c>
      <c r="AS33" s="1">
        <v>0</v>
      </c>
      <c r="AT33" s="1">
        <v>5</v>
      </c>
      <c r="AU33" s="1">
        <v>8</v>
      </c>
      <c r="BD33" s="2">
        <v>47</v>
      </c>
      <c r="BE33" s="2">
        <v>4.68</v>
      </c>
      <c r="BG33" s="2">
        <v>16</v>
      </c>
      <c r="BH33" s="2">
        <v>1</v>
      </c>
      <c r="BI33" s="2">
        <v>20</v>
      </c>
      <c r="BJ33" s="2">
        <v>120</v>
      </c>
      <c r="BK33" s="2">
        <v>1</v>
      </c>
      <c r="BL33" s="2">
        <v>0</v>
      </c>
      <c r="BM33" s="2">
        <v>0</v>
      </c>
      <c r="BN33" s="2">
        <v>0</v>
      </c>
      <c r="BO33" s="2" t="s">
        <v>210</v>
      </c>
      <c r="BP33" s="2">
        <v>1</v>
      </c>
      <c r="BQ33" s="2">
        <v>0</v>
      </c>
      <c r="CG33" s="5">
        <v>1.66</v>
      </c>
      <c r="CH33" s="5">
        <v>1.33</v>
      </c>
    </row>
    <row r="34" spans="13:86" x14ac:dyDescent="0.55000000000000004">
      <c r="O34" s="1">
        <v>60</v>
      </c>
      <c r="P34" s="1">
        <v>2.62</v>
      </c>
      <c r="Q34" s="1">
        <v>68</v>
      </c>
      <c r="AP34" s="1">
        <v>0.3</v>
      </c>
      <c r="AQ34" s="2">
        <v>11</v>
      </c>
      <c r="AR34" s="1">
        <v>0</v>
      </c>
      <c r="AS34" s="1">
        <v>1</v>
      </c>
      <c r="AT34" s="1">
        <v>3</v>
      </c>
      <c r="AU34" s="1">
        <v>6</v>
      </c>
      <c r="BD34" s="2">
        <v>53</v>
      </c>
      <c r="BE34" s="2">
        <v>4.74</v>
      </c>
      <c r="BG34" s="2">
        <v>17</v>
      </c>
      <c r="BH34" s="2">
        <v>0</v>
      </c>
      <c r="BI34" s="2">
        <v>20</v>
      </c>
      <c r="BJ34" s="2">
        <v>141</v>
      </c>
      <c r="BK34" s="2">
        <v>0</v>
      </c>
      <c r="BL34" s="2">
        <v>1</v>
      </c>
      <c r="BM34" s="2">
        <v>0</v>
      </c>
      <c r="BN34" s="2">
        <v>1</v>
      </c>
      <c r="BO34" s="2" t="s">
        <v>241</v>
      </c>
      <c r="BP34" s="2">
        <v>0</v>
      </c>
      <c r="BQ34" s="2">
        <v>1</v>
      </c>
      <c r="CG34" s="5">
        <v>1.41</v>
      </c>
      <c r="CH34" s="5">
        <v>1.1399999999999999</v>
      </c>
    </row>
    <row r="35" spans="13:86" x14ac:dyDescent="0.55000000000000004">
      <c r="O35" s="1">
        <v>22</v>
      </c>
      <c r="P35" s="1">
        <v>1.8</v>
      </c>
      <c r="Q35" s="1">
        <v>64</v>
      </c>
      <c r="AP35" s="1">
        <v>0.3</v>
      </c>
      <c r="AQ35" s="2">
        <v>11</v>
      </c>
      <c r="AR35" s="1">
        <v>1</v>
      </c>
      <c r="AS35" s="1">
        <v>1</v>
      </c>
      <c r="AT35" s="1">
        <v>5</v>
      </c>
      <c r="AU35" s="1">
        <v>12</v>
      </c>
      <c r="BD35" s="2">
        <v>49</v>
      </c>
      <c r="BE35" s="2">
        <v>3.76</v>
      </c>
      <c r="BG35" s="2">
        <v>17</v>
      </c>
      <c r="BH35" s="2">
        <v>1</v>
      </c>
      <c r="BI35" s="2">
        <v>20</v>
      </c>
      <c r="BJ35" s="2">
        <v>80</v>
      </c>
      <c r="BK35" s="2">
        <v>1</v>
      </c>
      <c r="BL35" s="2">
        <v>0</v>
      </c>
      <c r="BM35" s="2">
        <v>0</v>
      </c>
      <c r="BN35" s="2">
        <v>1</v>
      </c>
      <c r="BO35" s="2" t="s">
        <v>499</v>
      </c>
      <c r="BP35" s="2">
        <v>0</v>
      </c>
      <c r="BQ35" s="2">
        <v>0</v>
      </c>
      <c r="CG35" s="5">
        <v>1.08</v>
      </c>
      <c r="CH35" s="5">
        <v>0.93</v>
      </c>
    </row>
    <row r="36" spans="13:86" x14ac:dyDescent="0.55000000000000004">
      <c r="O36" s="1">
        <v>21</v>
      </c>
      <c r="P36" s="1">
        <v>1.81</v>
      </c>
      <c r="Q36" s="1">
        <v>60</v>
      </c>
      <c r="AP36" s="1">
        <v>0.3</v>
      </c>
      <c r="AQ36" s="2">
        <v>11</v>
      </c>
      <c r="AR36" s="1">
        <v>0</v>
      </c>
      <c r="AS36" s="1">
        <v>1</v>
      </c>
      <c r="AT36" s="1">
        <v>4</v>
      </c>
      <c r="AU36" s="1">
        <v>6</v>
      </c>
      <c r="BD36" s="2">
        <v>54</v>
      </c>
      <c r="BE36" s="2">
        <v>3.98</v>
      </c>
      <c r="BG36" s="2">
        <v>18</v>
      </c>
      <c r="BH36" s="2">
        <v>0</v>
      </c>
      <c r="BI36" s="2">
        <v>20</v>
      </c>
      <c r="BJ36" s="2">
        <v>121</v>
      </c>
      <c r="BK36" s="2">
        <v>1</v>
      </c>
      <c r="BL36" s="2">
        <v>0</v>
      </c>
      <c r="BM36" s="2">
        <v>0</v>
      </c>
      <c r="BN36" s="2">
        <v>0</v>
      </c>
      <c r="BO36" s="2" t="s">
        <v>210</v>
      </c>
      <c r="BP36" s="2">
        <v>1</v>
      </c>
      <c r="BQ36" s="2">
        <v>0</v>
      </c>
      <c r="CG36" s="5">
        <v>1.17</v>
      </c>
      <c r="CH36" s="5">
        <v>1.0900000000000001</v>
      </c>
    </row>
    <row r="37" spans="13:86" x14ac:dyDescent="0.55000000000000004">
      <c r="O37" s="1">
        <v>14</v>
      </c>
      <c r="P37" s="1">
        <v>1.58</v>
      </c>
      <c r="Q37" s="1">
        <v>62</v>
      </c>
      <c r="AP37" s="1">
        <v>0.3</v>
      </c>
      <c r="AQ37" s="2">
        <v>11</v>
      </c>
      <c r="AR37" s="1">
        <v>0</v>
      </c>
      <c r="AS37" s="1">
        <v>1</v>
      </c>
      <c r="AT37" s="1">
        <v>4</v>
      </c>
      <c r="AU37" s="1">
        <v>3</v>
      </c>
      <c r="BD37" s="2">
        <v>48</v>
      </c>
      <c r="BE37" s="2">
        <v>5</v>
      </c>
      <c r="BG37" s="2">
        <v>18</v>
      </c>
      <c r="BH37" s="2">
        <v>1</v>
      </c>
      <c r="BI37" s="2">
        <v>20</v>
      </c>
      <c r="BJ37" s="2">
        <v>109</v>
      </c>
      <c r="BK37" s="2">
        <v>0</v>
      </c>
      <c r="BL37" s="2">
        <v>0</v>
      </c>
      <c r="BM37" s="2">
        <v>0</v>
      </c>
      <c r="BN37" s="2">
        <v>0</v>
      </c>
      <c r="BO37" s="2" t="s">
        <v>499</v>
      </c>
      <c r="BP37" s="2">
        <v>0</v>
      </c>
      <c r="BQ37" s="2">
        <v>0</v>
      </c>
      <c r="CG37" s="5">
        <v>1.77</v>
      </c>
      <c r="CH37" s="5">
        <v>1.89</v>
      </c>
    </row>
    <row r="38" spans="13:86" x14ac:dyDescent="0.55000000000000004">
      <c r="O38" s="1">
        <v>4</v>
      </c>
      <c r="P38" s="1">
        <v>2.41</v>
      </c>
      <c r="Q38" s="1">
        <v>76</v>
      </c>
      <c r="AP38" s="1">
        <v>0.3</v>
      </c>
      <c r="AQ38" s="2">
        <v>11</v>
      </c>
      <c r="AR38" s="1">
        <v>0</v>
      </c>
      <c r="AS38" s="1">
        <v>1</v>
      </c>
      <c r="AT38" s="1">
        <v>13</v>
      </c>
      <c r="AU38" s="1">
        <v>18</v>
      </c>
      <c r="BD38" s="2">
        <v>49</v>
      </c>
      <c r="BE38" s="2">
        <v>3.31</v>
      </c>
      <c r="BG38" s="2">
        <v>19</v>
      </c>
      <c r="BH38" s="2">
        <v>0</v>
      </c>
      <c r="BI38" s="2">
        <v>20</v>
      </c>
      <c r="BJ38" s="2">
        <v>127</v>
      </c>
      <c r="BK38" s="2">
        <v>0</v>
      </c>
      <c r="BL38" s="2">
        <v>0</v>
      </c>
      <c r="BM38" s="2">
        <v>0</v>
      </c>
      <c r="BN38" s="2">
        <v>0</v>
      </c>
      <c r="BO38" s="2" t="s">
        <v>499</v>
      </c>
      <c r="BP38" s="2">
        <v>0</v>
      </c>
      <c r="BQ38" s="2">
        <v>0</v>
      </c>
      <c r="CG38" s="5">
        <v>1.33</v>
      </c>
      <c r="CH38" s="5">
        <v>1.57</v>
      </c>
    </row>
    <row r="39" spans="13:86" x14ac:dyDescent="0.55000000000000004">
      <c r="O39" s="1">
        <v>27</v>
      </c>
      <c r="P39" s="1">
        <v>1.65</v>
      </c>
      <c r="Q39" s="1">
        <v>60</v>
      </c>
      <c r="AP39" s="1">
        <v>0.3</v>
      </c>
      <c r="AQ39" s="2">
        <v>11</v>
      </c>
      <c r="AR39" s="1">
        <v>1</v>
      </c>
      <c r="AS39" s="1">
        <v>0</v>
      </c>
      <c r="AT39" s="1">
        <v>7</v>
      </c>
      <c r="AU39" s="1">
        <v>8</v>
      </c>
      <c r="BD39" s="2">
        <v>47</v>
      </c>
      <c r="BE39" s="2">
        <v>3.11</v>
      </c>
      <c r="BG39" s="2">
        <v>19</v>
      </c>
      <c r="BH39" s="2">
        <v>1</v>
      </c>
      <c r="BI39" s="2">
        <v>20</v>
      </c>
      <c r="BJ39" s="2">
        <v>121</v>
      </c>
      <c r="BK39" s="2">
        <v>1</v>
      </c>
      <c r="BL39" s="2">
        <v>1</v>
      </c>
      <c r="BM39" s="2">
        <v>0</v>
      </c>
      <c r="BN39" s="2">
        <v>1</v>
      </c>
      <c r="BO39" s="2" t="s">
        <v>241</v>
      </c>
      <c r="BP39" s="2">
        <v>0</v>
      </c>
      <c r="BQ39" s="2">
        <v>1</v>
      </c>
      <c r="CG39" s="5">
        <v>1.23</v>
      </c>
      <c r="CH39" s="5">
        <v>1.29</v>
      </c>
    </row>
    <row r="40" spans="13:86" x14ac:dyDescent="0.55000000000000004">
      <c r="O40" s="1">
        <v>26</v>
      </c>
      <c r="P40" s="1">
        <v>2.2400000000000002</v>
      </c>
      <c r="Q40" s="1">
        <v>60</v>
      </c>
      <c r="AP40" s="1">
        <v>0.3</v>
      </c>
      <c r="AQ40" s="2">
        <v>12</v>
      </c>
      <c r="AR40" s="1">
        <v>1</v>
      </c>
      <c r="AS40" s="1">
        <v>1</v>
      </c>
      <c r="AT40" s="1">
        <v>5</v>
      </c>
      <c r="AU40" s="1">
        <v>7</v>
      </c>
      <c r="BD40" s="2">
        <v>52</v>
      </c>
      <c r="BE40" s="2">
        <v>4.76</v>
      </c>
      <c r="BG40" s="2">
        <v>20</v>
      </c>
      <c r="BH40" s="2">
        <v>0</v>
      </c>
      <c r="BI40" s="2">
        <v>20</v>
      </c>
      <c r="BJ40" s="2">
        <v>120</v>
      </c>
      <c r="BK40" s="2">
        <v>0</v>
      </c>
      <c r="BL40" s="2">
        <v>0</v>
      </c>
      <c r="BM40" s="2">
        <v>0</v>
      </c>
      <c r="BN40" s="2">
        <v>0</v>
      </c>
      <c r="BO40" s="2" t="s">
        <v>499</v>
      </c>
      <c r="BP40" s="2">
        <v>0</v>
      </c>
      <c r="BQ40" s="2">
        <v>0</v>
      </c>
      <c r="CG40" s="5">
        <v>1.21</v>
      </c>
      <c r="CH40" s="5">
        <v>1.1299999999999999</v>
      </c>
    </row>
    <row r="41" spans="13:86" x14ac:dyDescent="0.55000000000000004">
      <c r="O41" s="1">
        <v>28</v>
      </c>
      <c r="P41" s="1">
        <v>1.7</v>
      </c>
      <c r="Q41" s="1">
        <v>59</v>
      </c>
      <c r="AP41" s="1">
        <v>0.31</v>
      </c>
      <c r="AQ41" s="2">
        <v>12</v>
      </c>
      <c r="AR41" s="1">
        <v>1</v>
      </c>
      <c r="AS41" s="1">
        <v>1</v>
      </c>
      <c r="AT41" s="1">
        <v>8</v>
      </c>
      <c r="AU41" s="1">
        <v>12</v>
      </c>
      <c r="BD41" s="2">
        <v>58</v>
      </c>
      <c r="BE41" s="2">
        <v>3.95</v>
      </c>
      <c r="BG41" s="2">
        <v>20</v>
      </c>
      <c r="BH41" s="2">
        <v>1</v>
      </c>
      <c r="BI41" s="2">
        <v>20</v>
      </c>
      <c r="BJ41" s="2">
        <v>122</v>
      </c>
      <c r="BK41" s="2">
        <v>1</v>
      </c>
      <c r="BL41" s="2">
        <v>0</v>
      </c>
      <c r="BM41" s="2">
        <v>0</v>
      </c>
      <c r="BN41" s="2">
        <v>0</v>
      </c>
      <c r="BO41" s="2" t="s">
        <v>210</v>
      </c>
      <c r="BP41" s="2">
        <v>1</v>
      </c>
      <c r="BQ41" s="2">
        <v>0</v>
      </c>
      <c r="CG41" s="5">
        <v>1.2</v>
      </c>
      <c r="CH41" s="5">
        <v>1.1100000000000001</v>
      </c>
    </row>
    <row r="42" spans="13:86" x14ac:dyDescent="0.55000000000000004">
      <c r="O42" s="1">
        <v>15</v>
      </c>
      <c r="P42" s="1">
        <v>2.4500000000000002</v>
      </c>
      <c r="Q42" s="1">
        <v>84</v>
      </c>
      <c r="AP42" s="1">
        <v>0.31</v>
      </c>
      <c r="AQ42" s="2">
        <v>12</v>
      </c>
      <c r="AR42" s="1">
        <v>0</v>
      </c>
      <c r="AS42" s="1">
        <v>1</v>
      </c>
      <c r="AT42" s="1">
        <v>4</v>
      </c>
      <c r="AU42" s="1">
        <v>6</v>
      </c>
      <c r="BD42" s="2">
        <v>62</v>
      </c>
      <c r="BE42" s="2">
        <v>4.5999999999999996</v>
      </c>
      <c r="BG42" s="2">
        <v>21</v>
      </c>
      <c r="BH42" s="2">
        <v>0</v>
      </c>
      <c r="BI42" s="2">
        <v>20</v>
      </c>
      <c r="BJ42" s="2">
        <v>158</v>
      </c>
      <c r="BK42" s="2">
        <v>0</v>
      </c>
      <c r="BL42" s="2">
        <v>0</v>
      </c>
      <c r="BM42" s="2">
        <v>0</v>
      </c>
      <c r="BN42" s="2">
        <v>0</v>
      </c>
      <c r="BO42" s="2" t="s">
        <v>241</v>
      </c>
      <c r="BP42" s="2">
        <v>0</v>
      </c>
      <c r="BQ42" s="2">
        <v>1</v>
      </c>
      <c r="CG42" s="5">
        <v>1.49</v>
      </c>
      <c r="CH42" s="5">
        <v>1.61</v>
      </c>
    </row>
    <row r="43" spans="13:86" x14ac:dyDescent="0.55000000000000004">
      <c r="O43" s="1">
        <v>8</v>
      </c>
      <c r="P43" s="1">
        <v>1.72</v>
      </c>
      <c r="Q43" s="1">
        <v>66</v>
      </c>
      <c r="AP43" s="1">
        <v>0.32</v>
      </c>
      <c r="AQ43" s="2">
        <v>12</v>
      </c>
      <c r="AR43" s="1">
        <v>0</v>
      </c>
      <c r="AS43" s="1">
        <v>1</v>
      </c>
      <c r="AT43" s="1">
        <v>4</v>
      </c>
      <c r="AU43" s="1">
        <v>8</v>
      </c>
      <c r="BD43" s="2">
        <v>65</v>
      </c>
      <c r="BE43" s="2">
        <v>4.83</v>
      </c>
      <c r="BG43" s="2">
        <v>21</v>
      </c>
      <c r="BH43" s="2">
        <v>1</v>
      </c>
      <c r="BI43" s="2">
        <v>20</v>
      </c>
      <c r="BJ43" s="2">
        <v>105</v>
      </c>
      <c r="BK43" s="2">
        <v>0</v>
      </c>
      <c r="BL43" s="2">
        <v>0</v>
      </c>
      <c r="BM43" s="2">
        <v>0</v>
      </c>
      <c r="BN43" s="2">
        <v>0</v>
      </c>
      <c r="BO43" s="2" t="s">
        <v>499</v>
      </c>
      <c r="BP43" s="2">
        <v>0</v>
      </c>
      <c r="BQ43" s="2">
        <v>0</v>
      </c>
      <c r="CG43" s="5">
        <v>0.89</v>
      </c>
      <c r="CH43" s="5">
        <v>0.79</v>
      </c>
    </row>
    <row r="44" spans="13:86" x14ac:dyDescent="0.55000000000000004">
      <c r="O44" s="1">
        <v>46</v>
      </c>
      <c r="P44" s="1">
        <v>2.37</v>
      </c>
      <c r="Q44" s="1">
        <v>68</v>
      </c>
      <c r="AP44" s="1">
        <v>0.32</v>
      </c>
      <c r="AQ44" s="2">
        <v>12</v>
      </c>
      <c r="AR44" s="1">
        <v>1</v>
      </c>
      <c r="AS44" s="1">
        <v>1</v>
      </c>
      <c r="AT44" s="1">
        <v>7</v>
      </c>
      <c r="AU44" s="1">
        <v>19</v>
      </c>
      <c r="BD44" s="2">
        <v>62</v>
      </c>
      <c r="BE44" s="2">
        <v>3.18</v>
      </c>
      <c r="BG44" s="2">
        <v>22</v>
      </c>
      <c r="BH44" s="2">
        <v>0</v>
      </c>
      <c r="BI44" s="2">
        <v>21</v>
      </c>
      <c r="BJ44" s="2">
        <v>108</v>
      </c>
      <c r="BK44" s="2">
        <v>1</v>
      </c>
      <c r="BL44" s="2">
        <v>0</v>
      </c>
      <c r="BM44" s="2">
        <v>0</v>
      </c>
      <c r="BN44" s="2">
        <v>1</v>
      </c>
      <c r="BO44" s="2" t="s">
        <v>241</v>
      </c>
      <c r="BP44" s="2">
        <v>0</v>
      </c>
      <c r="BQ44" s="2">
        <v>1</v>
      </c>
      <c r="CG44" s="5">
        <v>1.0900000000000001</v>
      </c>
      <c r="CH44" s="5">
        <v>1.19</v>
      </c>
    </row>
    <row r="45" spans="13:86" x14ac:dyDescent="0.55000000000000004">
      <c r="O45" s="1">
        <v>24</v>
      </c>
      <c r="P45" s="1">
        <v>2.23</v>
      </c>
      <c r="Q45" s="1">
        <v>65</v>
      </c>
      <c r="AP45" s="1">
        <v>0.32</v>
      </c>
      <c r="AQ45" s="2">
        <v>12</v>
      </c>
      <c r="AR45" s="1">
        <v>1</v>
      </c>
      <c r="AS45" s="1">
        <v>0</v>
      </c>
      <c r="AT45" s="1">
        <v>7</v>
      </c>
      <c r="AU45" s="1">
        <v>3</v>
      </c>
      <c r="BD45" s="2">
        <v>59</v>
      </c>
      <c r="BE45" s="2">
        <v>3.03</v>
      </c>
      <c r="BG45" s="2">
        <v>22</v>
      </c>
      <c r="BH45" s="2">
        <v>1</v>
      </c>
      <c r="BI45" s="2">
        <v>21</v>
      </c>
      <c r="BJ45" s="2">
        <v>165</v>
      </c>
      <c r="BK45" s="2">
        <v>1</v>
      </c>
      <c r="BL45" s="2">
        <v>0</v>
      </c>
      <c r="BM45" s="2">
        <v>1</v>
      </c>
      <c r="BN45" s="2">
        <v>0</v>
      </c>
      <c r="BO45" s="2" t="s">
        <v>241</v>
      </c>
      <c r="BP45" s="2">
        <v>0</v>
      </c>
      <c r="BQ45" s="2">
        <v>1</v>
      </c>
      <c r="CG45" s="5">
        <v>1.03</v>
      </c>
      <c r="CH45" s="5">
        <v>0.96</v>
      </c>
    </row>
    <row r="46" spans="13:86" x14ac:dyDescent="0.55000000000000004">
      <c r="O46" s="1">
        <v>12</v>
      </c>
      <c r="P46" s="1">
        <v>1.92</v>
      </c>
      <c r="Q46" s="1">
        <v>69</v>
      </c>
      <c r="AP46" s="1">
        <v>0.32</v>
      </c>
      <c r="AQ46" s="2">
        <v>12</v>
      </c>
      <c r="AR46" s="1">
        <v>0</v>
      </c>
      <c r="AS46" s="1">
        <v>1</v>
      </c>
      <c r="AT46" s="1">
        <v>5</v>
      </c>
      <c r="AU46" s="1">
        <v>22</v>
      </c>
      <c r="BG46" s="2">
        <v>23</v>
      </c>
      <c r="BH46" s="2">
        <v>0</v>
      </c>
      <c r="BI46" s="2">
        <v>21</v>
      </c>
      <c r="BJ46" s="2">
        <v>124</v>
      </c>
      <c r="BK46" s="2">
        <v>0</v>
      </c>
      <c r="BL46" s="2">
        <v>0</v>
      </c>
      <c r="BM46" s="2">
        <v>0</v>
      </c>
      <c r="BN46" s="2">
        <v>0</v>
      </c>
      <c r="BO46" s="2" t="s">
        <v>499</v>
      </c>
      <c r="BP46" s="2">
        <v>0</v>
      </c>
      <c r="BQ46" s="2">
        <v>0</v>
      </c>
      <c r="CG46" s="5">
        <v>1.07</v>
      </c>
      <c r="CH46" s="5">
        <v>1.25</v>
      </c>
    </row>
    <row r="47" spans="13:86" x14ac:dyDescent="0.55000000000000004">
      <c r="O47" s="1">
        <v>25</v>
      </c>
      <c r="P47" s="1">
        <v>1.99</v>
      </c>
      <c r="Q47" s="1">
        <v>72</v>
      </c>
      <c r="AP47" s="1">
        <v>0.32</v>
      </c>
      <c r="AQ47" s="2">
        <v>12</v>
      </c>
      <c r="AR47" s="1">
        <v>1</v>
      </c>
      <c r="AS47" s="1">
        <v>0</v>
      </c>
      <c r="AT47" s="1">
        <v>8</v>
      </c>
      <c r="AU47" s="1">
        <v>1</v>
      </c>
      <c r="BG47" s="2">
        <v>23</v>
      </c>
      <c r="BH47" s="2">
        <v>1</v>
      </c>
      <c r="BI47" s="2">
        <v>21</v>
      </c>
      <c r="BJ47" s="2">
        <v>200</v>
      </c>
      <c r="BK47" s="2">
        <v>0</v>
      </c>
      <c r="BL47" s="2">
        <v>0</v>
      </c>
      <c r="BM47" s="2">
        <v>0</v>
      </c>
      <c r="BN47" s="2">
        <v>1</v>
      </c>
      <c r="BO47" s="2" t="s">
        <v>210</v>
      </c>
      <c r="BP47" s="2">
        <v>1</v>
      </c>
      <c r="BQ47" s="2">
        <v>0</v>
      </c>
      <c r="CG47" s="5">
        <v>0.89</v>
      </c>
      <c r="CH47" s="5">
        <v>0.87</v>
      </c>
    </row>
    <row r="48" spans="13:86" x14ac:dyDescent="0.55000000000000004">
      <c r="O48" s="1">
        <v>45</v>
      </c>
      <c r="P48" s="1">
        <v>1.99</v>
      </c>
      <c r="Q48" s="1">
        <v>63</v>
      </c>
      <c r="AP48" s="1">
        <v>0.32</v>
      </c>
      <c r="AQ48" s="2">
        <v>12</v>
      </c>
      <c r="AR48" s="1">
        <v>0</v>
      </c>
      <c r="AS48" s="1">
        <v>0</v>
      </c>
      <c r="AT48" s="1">
        <v>6</v>
      </c>
      <c r="AU48" s="1">
        <v>6</v>
      </c>
      <c r="BG48" s="2">
        <v>24</v>
      </c>
      <c r="BH48" s="2">
        <v>0</v>
      </c>
      <c r="BI48" s="2">
        <v>21</v>
      </c>
      <c r="BJ48" s="2">
        <v>185</v>
      </c>
      <c r="BK48" s="2">
        <v>1</v>
      </c>
      <c r="BL48" s="2">
        <v>0</v>
      </c>
      <c r="BM48" s="2">
        <v>0</v>
      </c>
      <c r="BN48" s="2">
        <v>0</v>
      </c>
      <c r="BO48" s="2" t="s">
        <v>210</v>
      </c>
      <c r="BP48" s="2">
        <v>1</v>
      </c>
      <c r="BQ48" s="2">
        <v>0</v>
      </c>
      <c r="CG48" s="5">
        <v>1.39</v>
      </c>
      <c r="CH48" s="5">
        <v>1.36</v>
      </c>
    </row>
    <row r="49" spans="15:86" x14ac:dyDescent="0.55000000000000004">
      <c r="O49" s="1">
        <v>72</v>
      </c>
      <c r="P49" s="1">
        <v>2.35</v>
      </c>
      <c r="Q49" s="1">
        <v>56</v>
      </c>
      <c r="AP49" s="1">
        <v>0.32</v>
      </c>
      <c r="AQ49" s="2">
        <v>12</v>
      </c>
      <c r="AR49" s="1">
        <v>0</v>
      </c>
      <c r="AS49" s="1">
        <v>0</v>
      </c>
      <c r="AT49" s="1">
        <v>26</v>
      </c>
      <c r="AU49" s="1">
        <v>4</v>
      </c>
      <c r="BG49" s="2">
        <v>24</v>
      </c>
      <c r="BH49" s="2">
        <v>1</v>
      </c>
      <c r="BI49" s="2">
        <v>21</v>
      </c>
      <c r="BJ49" s="2">
        <v>103</v>
      </c>
      <c r="BK49" s="2">
        <v>0</v>
      </c>
      <c r="BL49" s="2">
        <v>0</v>
      </c>
      <c r="BM49" s="2">
        <v>0</v>
      </c>
      <c r="BN49" s="2">
        <v>0</v>
      </c>
      <c r="BO49" s="2" t="s">
        <v>499</v>
      </c>
      <c r="BP49" s="2">
        <v>0</v>
      </c>
      <c r="BQ49" s="2">
        <v>0</v>
      </c>
      <c r="CG49" s="5">
        <v>0.96</v>
      </c>
      <c r="CH49" s="5">
        <v>0.86</v>
      </c>
    </row>
    <row r="50" spans="15:86" x14ac:dyDescent="0.55000000000000004">
      <c r="O50" s="1">
        <v>25</v>
      </c>
      <c r="P50" s="1">
        <v>1.8</v>
      </c>
      <c r="Q50" s="1">
        <v>70</v>
      </c>
      <c r="AP50" s="1">
        <v>0.32</v>
      </c>
      <c r="AQ50" s="2">
        <v>13</v>
      </c>
      <c r="AR50" s="1">
        <v>0</v>
      </c>
      <c r="AS50" s="1">
        <v>1</v>
      </c>
      <c r="AT50" s="1">
        <v>5</v>
      </c>
      <c r="AU50" s="1">
        <v>6</v>
      </c>
      <c r="BG50" s="2">
        <v>25</v>
      </c>
      <c r="BH50" s="2">
        <v>0</v>
      </c>
      <c r="BI50" s="2">
        <v>21</v>
      </c>
      <c r="BJ50" s="2">
        <v>160</v>
      </c>
      <c r="BK50" s="2">
        <v>0</v>
      </c>
      <c r="BL50" s="2">
        <v>0</v>
      </c>
      <c r="BM50" s="2">
        <v>0</v>
      </c>
      <c r="BN50" s="2">
        <v>0</v>
      </c>
      <c r="BO50" s="2" t="s">
        <v>241</v>
      </c>
      <c r="BP50" s="2">
        <v>0</v>
      </c>
      <c r="BQ50" s="2">
        <v>1</v>
      </c>
      <c r="CG50" s="5">
        <v>1.06</v>
      </c>
      <c r="CH50" s="5">
        <v>1.03</v>
      </c>
    </row>
    <row r="51" spans="15:86" x14ac:dyDescent="0.55000000000000004">
      <c r="O51" s="1">
        <v>28</v>
      </c>
      <c r="P51" s="1">
        <v>2.36</v>
      </c>
      <c r="Q51" s="1">
        <v>69</v>
      </c>
      <c r="AP51" s="1">
        <v>0.33</v>
      </c>
      <c r="AQ51" s="2">
        <v>13</v>
      </c>
      <c r="AR51" s="1">
        <v>0</v>
      </c>
      <c r="AS51" s="1">
        <v>0</v>
      </c>
      <c r="AT51" s="1">
        <v>13</v>
      </c>
      <c r="AU51" s="1">
        <v>6</v>
      </c>
      <c r="BG51" s="2">
        <v>25</v>
      </c>
      <c r="BH51" s="2">
        <v>1</v>
      </c>
      <c r="BI51" s="2">
        <v>21</v>
      </c>
      <c r="BJ51" s="2">
        <v>100</v>
      </c>
      <c r="BK51" s="2">
        <v>0</v>
      </c>
      <c r="BL51" s="2">
        <v>1</v>
      </c>
      <c r="BM51" s="2">
        <v>0</v>
      </c>
      <c r="BN51" s="2">
        <v>0</v>
      </c>
      <c r="BO51" s="2" t="s">
        <v>499</v>
      </c>
      <c r="BP51" s="2">
        <v>0</v>
      </c>
      <c r="BQ51" s="2">
        <v>0</v>
      </c>
      <c r="CG51" s="5">
        <v>1.17</v>
      </c>
      <c r="CH51" s="5">
        <v>0.86</v>
      </c>
    </row>
    <row r="52" spans="15:86" x14ac:dyDescent="0.55000000000000004">
      <c r="O52" s="1">
        <v>10</v>
      </c>
      <c r="P52" s="1">
        <v>1.59</v>
      </c>
      <c r="Q52" s="1">
        <v>60</v>
      </c>
      <c r="AP52" s="1">
        <v>0.33</v>
      </c>
      <c r="AQ52" s="2">
        <v>13</v>
      </c>
      <c r="AR52" s="1">
        <v>0</v>
      </c>
      <c r="AS52" s="1">
        <v>0</v>
      </c>
      <c r="AT52" s="1">
        <v>11</v>
      </c>
      <c r="AU52" s="1">
        <v>6</v>
      </c>
      <c r="BG52" s="2">
        <v>26</v>
      </c>
      <c r="BH52" s="2">
        <v>0</v>
      </c>
      <c r="BI52" s="2">
        <v>21</v>
      </c>
      <c r="BJ52" s="2">
        <v>115</v>
      </c>
      <c r="BK52" s="2">
        <v>0</v>
      </c>
      <c r="BL52" s="2">
        <v>0</v>
      </c>
      <c r="BM52" s="2">
        <v>0</v>
      </c>
      <c r="BN52" s="2">
        <v>0</v>
      </c>
      <c r="BO52" s="2" t="s">
        <v>241</v>
      </c>
      <c r="BP52" s="2">
        <v>0</v>
      </c>
      <c r="BQ52" s="2">
        <v>1</v>
      </c>
      <c r="CG52" s="5">
        <v>0.9</v>
      </c>
      <c r="CH52" s="5">
        <v>0.8</v>
      </c>
    </row>
    <row r="53" spans="15:86" x14ac:dyDescent="0.55000000000000004">
      <c r="O53" s="1">
        <v>25</v>
      </c>
      <c r="P53" s="1">
        <v>2.1</v>
      </c>
      <c r="Q53" s="1">
        <v>51</v>
      </c>
      <c r="AP53" s="1">
        <v>0.33</v>
      </c>
      <c r="AQ53" s="2">
        <v>13</v>
      </c>
      <c r="AR53" s="1">
        <v>0</v>
      </c>
      <c r="AS53" s="1">
        <v>0</v>
      </c>
      <c r="AT53" s="1">
        <v>22</v>
      </c>
      <c r="AU53" s="1">
        <v>33</v>
      </c>
      <c r="BG53" s="2">
        <v>26</v>
      </c>
      <c r="BH53" s="2">
        <v>1</v>
      </c>
      <c r="BI53" s="2">
        <v>21</v>
      </c>
      <c r="BJ53" s="2">
        <v>130</v>
      </c>
      <c r="BK53" s="2">
        <v>1</v>
      </c>
      <c r="BL53" s="2">
        <v>0</v>
      </c>
      <c r="BM53" s="2">
        <v>1</v>
      </c>
      <c r="BN53" s="2">
        <v>0</v>
      </c>
      <c r="BO53" s="2" t="s">
        <v>241</v>
      </c>
      <c r="BP53" s="2">
        <v>0</v>
      </c>
      <c r="BQ53" s="2">
        <v>1</v>
      </c>
      <c r="CG53" s="5">
        <v>1.39</v>
      </c>
      <c r="CH53" s="5">
        <v>1.22</v>
      </c>
    </row>
    <row r="54" spans="15:86" x14ac:dyDescent="0.55000000000000004">
      <c r="O54" s="1">
        <v>44</v>
      </c>
      <c r="P54" s="1">
        <v>1.8</v>
      </c>
      <c r="Q54" s="1">
        <v>61</v>
      </c>
      <c r="AP54" s="1">
        <v>0.33</v>
      </c>
      <c r="AQ54" s="2">
        <v>13</v>
      </c>
      <c r="AR54" s="1">
        <v>0</v>
      </c>
      <c r="AS54" s="1">
        <v>0</v>
      </c>
      <c r="AT54" s="1">
        <v>13</v>
      </c>
      <c r="AU54" s="1">
        <v>9</v>
      </c>
      <c r="BG54" s="2">
        <v>27</v>
      </c>
      <c r="BH54" s="2">
        <v>0</v>
      </c>
      <c r="BI54" s="2">
        <v>22</v>
      </c>
      <c r="BJ54" s="2">
        <v>95</v>
      </c>
      <c r="BK54" s="2">
        <v>0</v>
      </c>
      <c r="BL54" s="2">
        <v>0</v>
      </c>
      <c r="BM54" s="2">
        <v>1</v>
      </c>
      <c r="BN54" s="2">
        <v>0</v>
      </c>
      <c r="BO54" s="2" t="s">
        <v>499</v>
      </c>
      <c r="BP54" s="2">
        <v>0</v>
      </c>
      <c r="BQ54" s="2">
        <v>0</v>
      </c>
      <c r="CG54" s="5">
        <v>0.91</v>
      </c>
      <c r="CH54" s="5">
        <v>0.86</v>
      </c>
    </row>
    <row r="55" spans="15:86" x14ac:dyDescent="0.55000000000000004">
      <c r="AP55" s="1">
        <v>0.33</v>
      </c>
      <c r="AQ55" s="2">
        <v>13</v>
      </c>
      <c r="AR55" s="1">
        <v>1</v>
      </c>
      <c r="AS55" s="1">
        <v>1</v>
      </c>
      <c r="AT55" s="1">
        <v>8</v>
      </c>
      <c r="AU55" s="1">
        <v>12</v>
      </c>
      <c r="BG55" s="2">
        <v>27</v>
      </c>
      <c r="BH55" s="2">
        <v>1</v>
      </c>
      <c r="BI55" s="2">
        <v>22</v>
      </c>
      <c r="BJ55" s="2">
        <v>130</v>
      </c>
      <c r="BK55" s="2">
        <v>1</v>
      </c>
      <c r="BL55" s="2">
        <v>0</v>
      </c>
      <c r="BM55" s="2">
        <v>0</v>
      </c>
      <c r="BN55" s="2">
        <v>0</v>
      </c>
      <c r="BO55" s="2" t="s">
        <v>241</v>
      </c>
      <c r="BP55" s="2">
        <v>0</v>
      </c>
      <c r="BQ55" s="2">
        <v>1</v>
      </c>
      <c r="CG55" s="5">
        <v>2.2799999999999998</v>
      </c>
      <c r="CH55" s="5">
        <v>2.25</v>
      </c>
    </row>
    <row r="56" spans="15:86" x14ac:dyDescent="0.55000000000000004">
      <c r="AP56" s="1">
        <v>0.33</v>
      </c>
      <c r="AQ56" s="2">
        <v>14</v>
      </c>
      <c r="AR56" s="1">
        <v>0</v>
      </c>
      <c r="AS56" s="1">
        <v>1</v>
      </c>
      <c r="AT56" s="1">
        <v>6</v>
      </c>
      <c r="AU56" s="1">
        <v>6</v>
      </c>
      <c r="BG56" s="2">
        <v>28</v>
      </c>
      <c r="BH56" s="2">
        <v>0</v>
      </c>
      <c r="BI56" s="2">
        <v>22</v>
      </c>
      <c r="BJ56" s="2">
        <v>158</v>
      </c>
      <c r="BK56" s="2">
        <v>0</v>
      </c>
      <c r="BL56" s="2">
        <v>1</v>
      </c>
      <c r="BM56" s="2">
        <v>0</v>
      </c>
      <c r="BN56" s="2">
        <v>0</v>
      </c>
      <c r="BO56" s="2" t="s">
        <v>210</v>
      </c>
      <c r="BP56" s="2">
        <v>1</v>
      </c>
      <c r="BQ56" s="2">
        <v>0</v>
      </c>
      <c r="CG56" s="5">
        <v>0.9</v>
      </c>
      <c r="CH56" s="5">
        <v>0.87</v>
      </c>
    </row>
    <row r="57" spans="15:86" x14ac:dyDescent="0.55000000000000004">
      <c r="AP57" s="1">
        <v>0.33</v>
      </c>
      <c r="AQ57" s="2">
        <v>14</v>
      </c>
      <c r="AR57" s="1">
        <v>0</v>
      </c>
      <c r="AS57" s="1">
        <v>0</v>
      </c>
      <c r="AT57" s="1">
        <v>23</v>
      </c>
      <c r="AU57" s="1">
        <v>15</v>
      </c>
      <c r="BG57" s="2">
        <v>28</v>
      </c>
      <c r="BH57" s="2">
        <v>1</v>
      </c>
      <c r="BI57" s="2">
        <v>22</v>
      </c>
      <c r="BJ57" s="2">
        <v>130</v>
      </c>
      <c r="BK57" s="2">
        <v>1</v>
      </c>
      <c r="BL57" s="2">
        <v>1</v>
      </c>
      <c r="BM57" s="2">
        <v>0</v>
      </c>
      <c r="BN57" s="2">
        <v>1</v>
      </c>
      <c r="BO57" s="2" t="s">
        <v>241</v>
      </c>
      <c r="BP57" s="2">
        <v>0</v>
      </c>
      <c r="BQ57" s="2">
        <v>1</v>
      </c>
      <c r="CG57" s="5">
        <v>1.34</v>
      </c>
      <c r="CH57" s="5">
        <v>1.3</v>
      </c>
    </row>
    <row r="58" spans="15:86" x14ac:dyDescent="0.55000000000000004">
      <c r="AP58" s="1">
        <v>0.33</v>
      </c>
      <c r="AQ58" s="2">
        <v>14</v>
      </c>
      <c r="AR58" s="1">
        <v>0</v>
      </c>
      <c r="AS58" s="1">
        <v>0</v>
      </c>
      <c r="AT58" s="1">
        <v>15</v>
      </c>
      <c r="AU58" s="1">
        <v>10</v>
      </c>
      <c r="BG58" s="2">
        <v>29</v>
      </c>
      <c r="BH58" s="2">
        <v>0</v>
      </c>
      <c r="BI58" s="2">
        <v>23</v>
      </c>
      <c r="BJ58" s="2">
        <v>130</v>
      </c>
      <c r="BK58" s="2">
        <v>0</v>
      </c>
      <c r="BL58" s="2">
        <v>0</v>
      </c>
      <c r="BM58" s="2">
        <v>0</v>
      </c>
      <c r="BN58" s="2">
        <v>0</v>
      </c>
      <c r="BO58" s="2" t="s">
        <v>210</v>
      </c>
      <c r="BP58" s="2">
        <v>1</v>
      </c>
      <c r="BQ58" s="2">
        <v>0</v>
      </c>
      <c r="CG58" s="5">
        <v>1.32</v>
      </c>
      <c r="CH58" s="5">
        <v>1.04</v>
      </c>
    </row>
    <row r="59" spans="15:86" x14ac:dyDescent="0.55000000000000004">
      <c r="AP59" s="1">
        <v>0.34</v>
      </c>
      <c r="AQ59" s="2">
        <v>16</v>
      </c>
      <c r="AR59" s="1">
        <v>1</v>
      </c>
      <c r="AS59" s="1">
        <v>1</v>
      </c>
      <c r="AT59" s="1">
        <v>5</v>
      </c>
      <c r="AU59" s="1">
        <v>6</v>
      </c>
      <c r="BG59" s="2">
        <v>29</v>
      </c>
      <c r="BH59" s="2">
        <v>1</v>
      </c>
      <c r="BI59" s="2">
        <v>23</v>
      </c>
      <c r="BJ59" s="2">
        <v>97</v>
      </c>
      <c r="BK59" s="2">
        <v>0</v>
      </c>
      <c r="BL59" s="2">
        <v>0</v>
      </c>
      <c r="BM59" s="2">
        <v>0</v>
      </c>
      <c r="BN59" s="2">
        <v>1</v>
      </c>
      <c r="BO59" s="2" t="s">
        <v>499</v>
      </c>
      <c r="BP59" s="2">
        <v>0</v>
      </c>
      <c r="BQ59" s="2">
        <v>0</v>
      </c>
      <c r="CG59" s="5">
        <v>1.02</v>
      </c>
      <c r="CH59" s="5">
        <v>0.92</v>
      </c>
    </row>
    <row r="60" spans="15:86" x14ac:dyDescent="0.55000000000000004">
      <c r="AP60" s="1">
        <v>0.34</v>
      </c>
      <c r="AQ60" s="2">
        <v>16</v>
      </c>
      <c r="AR60" s="1">
        <v>1</v>
      </c>
      <c r="AS60" s="1">
        <v>1</v>
      </c>
      <c r="AT60" s="1">
        <v>6</v>
      </c>
      <c r="AU60" s="1">
        <v>8</v>
      </c>
      <c r="BG60" s="2">
        <v>30</v>
      </c>
      <c r="BH60" s="2">
        <v>0</v>
      </c>
      <c r="BI60" s="2">
        <v>23</v>
      </c>
      <c r="BJ60" s="2">
        <v>128</v>
      </c>
      <c r="BK60" s="2">
        <v>0</v>
      </c>
      <c r="BL60" s="2">
        <v>0</v>
      </c>
      <c r="BM60" s="2">
        <v>0</v>
      </c>
      <c r="BN60" s="2">
        <v>0</v>
      </c>
      <c r="BO60" s="2" t="s">
        <v>499</v>
      </c>
      <c r="BP60" s="2">
        <v>0</v>
      </c>
      <c r="BQ60" s="2">
        <v>0</v>
      </c>
      <c r="CG60" s="5">
        <v>1.04</v>
      </c>
      <c r="CH60" s="5">
        <v>1.01</v>
      </c>
    </row>
    <row r="61" spans="15:86" x14ac:dyDescent="0.55000000000000004">
      <c r="AP61" s="1">
        <v>0.34</v>
      </c>
      <c r="AQ61" s="2">
        <v>16</v>
      </c>
      <c r="AR61" s="1">
        <v>0</v>
      </c>
      <c r="AS61" s="1">
        <v>0</v>
      </c>
      <c r="AT61" s="1">
        <v>18</v>
      </c>
      <c r="AU61" s="1">
        <v>4</v>
      </c>
      <c r="BG61" s="2">
        <v>30</v>
      </c>
      <c r="BH61" s="2">
        <v>1</v>
      </c>
      <c r="BI61" s="2">
        <v>23</v>
      </c>
      <c r="BJ61" s="2">
        <v>187</v>
      </c>
      <c r="BK61" s="2">
        <v>1</v>
      </c>
      <c r="BL61" s="2">
        <v>0</v>
      </c>
      <c r="BM61" s="2">
        <v>0</v>
      </c>
      <c r="BN61" s="2">
        <v>0</v>
      </c>
      <c r="BO61" s="2" t="s">
        <v>210</v>
      </c>
      <c r="BP61" s="2">
        <v>1</v>
      </c>
      <c r="BQ61" s="2">
        <v>0</v>
      </c>
      <c r="CG61" s="5">
        <v>1.27</v>
      </c>
      <c r="CH61" s="5">
        <v>1.21</v>
      </c>
    </row>
    <row r="62" spans="15:86" x14ac:dyDescent="0.55000000000000004">
      <c r="AP62" s="1">
        <v>0.34</v>
      </c>
      <c r="AQ62" s="2">
        <v>17</v>
      </c>
      <c r="AR62" s="1">
        <v>0</v>
      </c>
      <c r="AS62" s="1">
        <v>0</v>
      </c>
      <c r="AT62" s="1">
        <v>7</v>
      </c>
      <c r="AU62" s="1">
        <v>10</v>
      </c>
      <c r="BG62" s="2">
        <v>31</v>
      </c>
      <c r="BH62" s="2">
        <v>0</v>
      </c>
      <c r="BI62" s="2">
        <v>23</v>
      </c>
      <c r="BJ62" s="2">
        <v>119</v>
      </c>
      <c r="BK62" s="2">
        <v>0</v>
      </c>
      <c r="BL62" s="2">
        <v>0</v>
      </c>
      <c r="BM62" s="2">
        <v>0</v>
      </c>
      <c r="BN62" s="2">
        <v>0</v>
      </c>
      <c r="BO62" s="2" t="s">
        <v>499</v>
      </c>
      <c r="BP62" s="2">
        <v>0</v>
      </c>
      <c r="BQ62" s="2">
        <v>0</v>
      </c>
      <c r="CG62" s="5">
        <v>1.08</v>
      </c>
      <c r="CH62" s="5">
        <v>1.1100000000000001</v>
      </c>
    </row>
    <row r="63" spans="15:86" x14ac:dyDescent="0.55000000000000004">
      <c r="AP63" s="1">
        <v>0.34</v>
      </c>
      <c r="AQ63" s="2">
        <v>17</v>
      </c>
      <c r="AR63" s="1">
        <v>0</v>
      </c>
      <c r="AS63" s="1">
        <v>1</v>
      </c>
      <c r="AT63" s="1">
        <v>4</v>
      </c>
      <c r="AU63" s="1">
        <v>3</v>
      </c>
      <c r="BG63" s="2">
        <v>31</v>
      </c>
      <c r="BH63" s="2">
        <v>1</v>
      </c>
      <c r="BI63" s="2">
        <v>23</v>
      </c>
      <c r="BJ63" s="2">
        <v>120</v>
      </c>
      <c r="BK63" s="2">
        <v>0</v>
      </c>
      <c r="BL63" s="2">
        <v>0</v>
      </c>
      <c r="BM63" s="2">
        <v>0</v>
      </c>
      <c r="BN63" s="2">
        <v>0</v>
      </c>
      <c r="BO63" s="2" t="s">
        <v>499</v>
      </c>
      <c r="BP63" s="2">
        <v>0</v>
      </c>
      <c r="BQ63" s="2">
        <v>0</v>
      </c>
      <c r="CG63" s="5">
        <v>1.1000000000000001</v>
      </c>
      <c r="CH63" s="5">
        <v>1.21</v>
      </c>
    </row>
    <row r="64" spans="15:86" x14ac:dyDescent="0.55000000000000004">
      <c r="AP64" s="1">
        <v>0.34</v>
      </c>
      <c r="AQ64" s="2">
        <v>17</v>
      </c>
      <c r="AR64" s="1">
        <v>0</v>
      </c>
      <c r="AS64" s="1">
        <v>1</v>
      </c>
      <c r="AT64" s="1">
        <v>7</v>
      </c>
      <c r="AU64" s="1">
        <v>6</v>
      </c>
      <c r="BG64" s="2">
        <v>32</v>
      </c>
      <c r="BH64" s="2">
        <v>0</v>
      </c>
      <c r="BI64" s="2">
        <v>23</v>
      </c>
      <c r="BJ64" s="2">
        <v>115</v>
      </c>
      <c r="BK64" s="2">
        <v>1</v>
      </c>
      <c r="BL64" s="2">
        <v>0</v>
      </c>
      <c r="BM64" s="2">
        <v>0</v>
      </c>
      <c r="BN64" s="2">
        <v>0</v>
      </c>
      <c r="BO64" s="2" t="s">
        <v>499</v>
      </c>
      <c r="BP64" s="2">
        <v>0</v>
      </c>
      <c r="BQ64" s="2">
        <v>0</v>
      </c>
      <c r="CG64" s="5">
        <v>1.39</v>
      </c>
      <c r="CH64" s="5">
        <v>1.54</v>
      </c>
    </row>
    <row r="65" spans="42:86" x14ac:dyDescent="0.55000000000000004">
      <c r="AP65" s="1">
        <v>0.34</v>
      </c>
      <c r="AQ65" s="2">
        <v>17</v>
      </c>
      <c r="AR65" s="1">
        <v>1</v>
      </c>
      <c r="AS65" s="1">
        <v>0</v>
      </c>
      <c r="AT65" s="1">
        <v>8</v>
      </c>
      <c r="AU65" s="1">
        <v>8</v>
      </c>
      <c r="BG65" s="2">
        <v>32</v>
      </c>
      <c r="BH65" s="2">
        <v>1</v>
      </c>
      <c r="BI65" s="2">
        <v>23</v>
      </c>
      <c r="BJ65" s="2">
        <v>110</v>
      </c>
      <c r="BK65" s="2">
        <v>1</v>
      </c>
      <c r="BL65" s="2">
        <v>1</v>
      </c>
      <c r="BM65" s="2">
        <v>0</v>
      </c>
      <c r="BN65" s="2">
        <v>0</v>
      </c>
      <c r="BO65" s="2" t="s">
        <v>241</v>
      </c>
      <c r="BP65" s="2">
        <v>0</v>
      </c>
      <c r="BQ65" s="2">
        <v>1</v>
      </c>
      <c r="CG65" s="5">
        <v>1.07</v>
      </c>
      <c r="CH65" s="5">
        <v>0.99</v>
      </c>
    </row>
    <row r="66" spans="42:86" x14ac:dyDescent="0.55000000000000004">
      <c r="AP66" s="1">
        <v>0.35</v>
      </c>
      <c r="AQ66" s="2">
        <v>17</v>
      </c>
      <c r="AR66" s="1">
        <v>0</v>
      </c>
      <c r="AS66" s="1">
        <v>1</v>
      </c>
      <c r="AT66" s="1">
        <v>5</v>
      </c>
      <c r="AU66" s="1">
        <v>6</v>
      </c>
      <c r="BG66" s="2">
        <v>33</v>
      </c>
      <c r="BH66" s="2">
        <v>0</v>
      </c>
      <c r="BI66" s="2">
        <v>23</v>
      </c>
      <c r="BJ66" s="2">
        <v>190</v>
      </c>
      <c r="BK66" s="2">
        <v>0</v>
      </c>
      <c r="BL66" s="2">
        <v>0</v>
      </c>
      <c r="BM66" s="2">
        <v>0</v>
      </c>
      <c r="BN66" s="2">
        <v>0</v>
      </c>
      <c r="BO66" s="2" t="s">
        <v>241</v>
      </c>
      <c r="BP66" s="2">
        <v>0</v>
      </c>
      <c r="BQ66" s="2">
        <v>1</v>
      </c>
      <c r="CG66" s="5">
        <v>0.79</v>
      </c>
      <c r="CH66" s="5">
        <v>0.79</v>
      </c>
    </row>
    <row r="67" spans="42:86" x14ac:dyDescent="0.55000000000000004">
      <c r="AP67" s="1">
        <v>0.35</v>
      </c>
      <c r="AQ67" s="2">
        <v>18</v>
      </c>
      <c r="AR67" s="1">
        <v>1</v>
      </c>
      <c r="AS67" s="1">
        <v>0</v>
      </c>
      <c r="AT67" s="1">
        <v>10</v>
      </c>
      <c r="AU67" s="1">
        <v>9</v>
      </c>
      <c r="BG67" s="2">
        <v>33</v>
      </c>
      <c r="BH67" s="2">
        <v>1</v>
      </c>
      <c r="BI67" s="2">
        <v>23</v>
      </c>
      <c r="BJ67" s="2">
        <v>94</v>
      </c>
      <c r="BK67" s="2">
        <v>1</v>
      </c>
      <c r="BL67" s="2">
        <v>0</v>
      </c>
      <c r="BM67" s="2">
        <v>0</v>
      </c>
      <c r="BN67" s="2">
        <v>0</v>
      </c>
      <c r="BO67" s="2" t="s">
        <v>499</v>
      </c>
      <c r="BP67" s="2">
        <v>0</v>
      </c>
      <c r="BQ67" s="2">
        <v>0</v>
      </c>
      <c r="CG67" s="5">
        <v>1.02</v>
      </c>
      <c r="CH67" s="5">
        <v>1.06</v>
      </c>
    </row>
    <row r="68" spans="42:86" x14ac:dyDescent="0.55000000000000004">
      <c r="AP68" s="1">
        <v>0.35</v>
      </c>
      <c r="AQ68" s="2">
        <v>18</v>
      </c>
      <c r="AR68" s="1">
        <v>1</v>
      </c>
      <c r="AS68" s="1">
        <v>1</v>
      </c>
      <c r="AT68" s="1">
        <v>8</v>
      </c>
      <c r="AU68" s="1">
        <v>38</v>
      </c>
      <c r="BG68" s="2">
        <v>34</v>
      </c>
      <c r="BH68" s="2">
        <v>0</v>
      </c>
      <c r="BI68" s="2">
        <v>24</v>
      </c>
      <c r="BJ68" s="2">
        <v>90</v>
      </c>
      <c r="BK68" s="2">
        <v>1</v>
      </c>
      <c r="BL68" s="2">
        <v>1</v>
      </c>
      <c r="BM68" s="2">
        <v>0</v>
      </c>
      <c r="BN68" s="2">
        <v>0</v>
      </c>
      <c r="BO68" s="2" t="s">
        <v>241</v>
      </c>
      <c r="BP68" s="2">
        <v>0</v>
      </c>
      <c r="BQ68" s="2">
        <v>1</v>
      </c>
      <c r="CG68" s="5">
        <v>0.94</v>
      </c>
      <c r="CH68" s="5">
        <v>1.02</v>
      </c>
    </row>
    <row r="69" spans="42:86" x14ac:dyDescent="0.55000000000000004">
      <c r="AP69" s="1">
        <v>0.35</v>
      </c>
      <c r="AQ69" s="2">
        <v>18</v>
      </c>
      <c r="AR69" s="1">
        <v>0</v>
      </c>
      <c r="AS69" s="1">
        <v>1</v>
      </c>
      <c r="AT69" s="1">
        <v>11</v>
      </c>
      <c r="AU69" s="1">
        <v>11</v>
      </c>
      <c r="BG69" s="2">
        <v>34</v>
      </c>
      <c r="BH69" s="2">
        <v>1</v>
      </c>
      <c r="BI69" s="2">
        <v>24</v>
      </c>
      <c r="BJ69" s="2">
        <v>128</v>
      </c>
      <c r="BK69" s="2">
        <v>0</v>
      </c>
      <c r="BL69" s="2">
        <v>1</v>
      </c>
      <c r="BM69" s="2">
        <v>0</v>
      </c>
      <c r="BN69" s="2">
        <v>0</v>
      </c>
      <c r="BO69" s="2" t="s">
        <v>210</v>
      </c>
      <c r="BP69" s="2">
        <v>1</v>
      </c>
      <c r="BQ69" s="2">
        <v>0</v>
      </c>
      <c r="CG69" s="5">
        <v>1.99</v>
      </c>
      <c r="CH69" s="5">
        <v>2.15</v>
      </c>
    </row>
    <row r="70" spans="42:86" x14ac:dyDescent="0.55000000000000004">
      <c r="AP70" s="1">
        <v>0.35</v>
      </c>
      <c r="AQ70" s="2">
        <v>19</v>
      </c>
      <c r="AR70" s="1">
        <v>0</v>
      </c>
      <c r="AS70" s="1">
        <v>0</v>
      </c>
      <c r="AT70" s="1">
        <v>26</v>
      </c>
      <c r="AU70" s="1">
        <v>6</v>
      </c>
      <c r="BG70" s="2">
        <v>35</v>
      </c>
      <c r="BH70" s="2">
        <v>0</v>
      </c>
      <c r="BI70" s="2">
        <v>24</v>
      </c>
      <c r="BJ70" s="2">
        <v>115</v>
      </c>
      <c r="BK70" s="2">
        <v>0</v>
      </c>
      <c r="BL70" s="2">
        <v>0</v>
      </c>
      <c r="BM70" s="2">
        <v>0</v>
      </c>
      <c r="BN70" s="2">
        <v>0</v>
      </c>
      <c r="BO70" s="2" t="s">
        <v>241</v>
      </c>
      <c r="BP70" s="2">
        <v>0</v>
      </c>
      <c r="BQ70" s="2">
        <v>1</v>
      </c>
      <c r="CG70" s="5">
        <v>0.7</v>
      </c>
      <c r="CH70" s="5">
        <v>0.56000000000000005</v>
      </c>
    </row>
    <row r="71" spans="42:86" x14ac:dyDescent="0.55000000000000004">
      <c r="AP71" s="1">
        <v>0.35</v>
      </c>
      <c r="AQ71" s="2">
        <v>19</v>
      </c>
      <c r="AR71" s="1">
        <v>0</v>
      </c>
      <c r="AS71" s="1">
        <v>1</v>
      </c>
      <c r="AT71" s="1">
        <v>11</v>
      </c>
      <c r="AU71" s="1">
        <v>16</v>
      </c>
      <c r="BG71" s="2">
        <v>35</v>
      </c>
      <c r="BH71" s="2">
        <v>1</v>
      </c>
      <c r="BI71" s="2">
        <v>24</v>
      </c>
      <c r="BJ71" s="2">
        <v>132</v>
      </c>
      <c r="BK71" s="2">
        <v>0</v>
      </c>
      <c r="BL71" s="2">
        <v>0</v>
      </c>
      <c r="BM71" s="2">
        <v>1</v>
      </c>
      <c r="BN71" s="2">
        <v>0</v>
      </c>
      <c r="BO71" s="2" t="s">
        <v>499</v>
      </c>
      <c r="BP71" s="2">
        <v>0</v>
      </c>
      <c r="BQ71" s="2">
        <v>0</v>
      </c>
      <c r="CG71" s="5">
        <v>0.84</v>
      </c>
      <c r="CH71" s="5">
        <v>1.01</v>
      </c>
    </row>
    <row r="72" spans="42:86" x14ac:dyDescent="0.55000000000000004">
      <c r="AP72" s="1">
        <v>0.36</v>
      </c>
      <c r="AQ72" s="2">
        <v>19</v>
      </c>
      <c r="AR72" s="1">
        <v>1</v>
      </c>
      <c r="AS72" s="1">
        <v>1</v>
      </c>
      <c r="AT72" s="1">
        <v>5</v>
      </c>
      <c r="AU72" s="1">
        <v>7</v>
      </c>
      <c r="BG72" s="2">
        <v>36</v>
      </c>
      <c r="BH72" s="2">
        <v>0</v>
      </c>
      <c r="BI72" s="2">
        <v>24</v>
      </c>
      <c r="BJ72" s="2">
        <v>110</v>
      </c>
      <c r="BK72" s="2">
        <v>0</v>
      </c>
      <c r="BL72" s="2">
        <v>0</v>
      </c>
      <c r="BM72" s="2">
        <v>0</v>
      </c>
      <c r="BN72" s="2">
        <v>0</v>
      </c>
      <c r="BO72" s="2" t="s">
        <v>499</v>
      </c>
      <c r="BP72" s="2">
        <v>0</v>
      </c>
      <c r="BQ72" s="2">
        <v>0</v>
      </c>
      <c r="CG72" s="5">
        <v>0.66</v>
      </c>
      <c r="CH72" s="5">
        <v>0.59</v>
      </c>
    </row>
    <row r="73" spans="42:86" x14ac:dyDescent="0.55000000000000004">
      <c r="AP73" s="1">
        <v>0.36</v>
      </c>
      <c r="AQ73" s="2">
        <v>20</v>
      </c>
      <c r="AR73" s="1">
        <v>0</v>
      </c>
      <c r="AS73" s="1">
        <v>0</v>
      </c>
      <c r="AT73" s="1">
        <v>11</v>
      </c>
      <c r="AU73" s="1">
        <v>2</v>
      </c>
      <c r="BG73" s="2">
        <v>36</v>
      </c>
      <c r="BH73" s="2">
        <v>1</v>
      </c>
      <c r="BI73" s="2">
        <v>24</v>
      </c>
      <c r="BJ73" s="2">
        <v>155</v>
      </c>
      <c r="BK73" s="2">
        <v>1</v>
      </c>
      <c r="BL73" s="2">
        <v>1</v>
      </c>
      <c r="BM73" s="2">
        <v>0</v>
      </c>
      <c r="BN73" s="2">
        <v>0</v>
      </c>
      <c r="BO73" s="2" t="s">
        <v>241</v>
      </c>
      <c r="BP73" s="2">
        <v>0</v>
      </c>
      <c r="BQ73" s="2">
        <v>1</v>
      </c>
      <c r="CG73" s="5">
        <v>1.1000000000000001</v>
      </c>
      <c r="CH73" s="5">
        <v>1.17</v>
      </c>
    </row>
    <row r="74" spans="42:86" x14ac:dyDescent="0.55000000000000004">
      <c r="AP74" s="1">
        <v>0.36</v>
      </c>
      <c r="AQ74" s="2">
        <v>20</v>
      </c>
      <c r="AR74" s="1">
        <v>0</v>
      </c>
      <c r="AS74" s="1">
        <v>0</v>
      </c>
      <c r="AT74" s="1">
        <v>13</v>
      </c>
      <c r="AU74" s="1">
        <v>9</v>
      </c>
      <c r="BG74" s="2">
        <v>37</v>
      </c>
      <c r="BH74" s="2">
        <v>0</v>
      </c>
      <c r="BI74" s="2">
        <v>24</v>
      </c>
      <c r="BJ74" s="2">
        <v>115</v>
      </c>
      <c r="BK74" s="2">
        <v>0</v>
      </c>
      <c r="BL74" s="2">
        <v>0</v>
      </c>
      <c r="BM74" s="2">
        <v>0</v>
      </c>
      <c r="BN74" s="2">
        <v>0</v>
      </c>
      <c r="BO74" s="2" t="s">
        <v>499</v>
      </c>
      <c r="BP74" s="2">
        <v>0</v>
      </c>
      <c r="BQ74" s="2">
        <v>0</v>
      </c>
      <c r="CG74" s="5">
        <v>0.9</v>
      </c>
      <c r="CH74" s="5">
        <v>0.82</v>
      </c>
    </row>
    <row r="75" spans="42:86" x14ac:dyDescent="0.55000000000000004">
      <c r="AP75" s="1">
        <v>0.36</v>
      </c>
      <c r="AQ75" s="2">
        <v>20</v>
      </c>
      <c r="AR75" s="1">
        <v>0</v>
      </c>
      <c r="AS75" s="1">
        <v>0</v>
      </c>
      <c r="AT75" s="1">
        <v>6</v>
      </c>
      <c r="AU75" s="1">
        <v>7</v>
      </c>
      <c r="BG75" s="2">
        <v>37</v>
      </c>
      <c r="BH75" s="2">
        <v>1</v>
      </c>
      <c r="BI75" s="2">
        <v>24</v>
      </c>
      <c r="BJ75" s="2">
        <v>138</v>
      </c>
      <c r="BK75" s="2">
        <v>0</v>
      </c>
      <c r="BL75" s="2">
        <v>0</v>
      </c>
      <c r="BM75" s="2">
        <v>0</v>
      </c>
      <c r="BN75" s="2">
        <v>0</v>
      </c>
      <c r="BO75" s="2" t="s">
        <v>241</v>
      </c>
      <c r="BP75" s="2">
        <v>0</v>
      </c>
      <c r="BQ75" s="2">
        <v>1</v>
      </c>
      <c r="CG75" s="5">
        <v>2.06</v>
      </c>
      <c r="CH75" s="5">
        <v>2.09</v>
      </c>
    </row>
    <row r="76" spans="42:86" x14ac:dyDescent="0.55000000000000004">
      <c r="AP76" s="1">
        <v>0.36</v>
      </c>
      <c r="AQ76" s="2">
        <v>21</v>
      </c>
      <c r="AR76" s="1">
        <v>0</v>
      </c>
      <c r="AS76" s="1">
        <v>1</v>
      </c>
      <c r="AT76" s="1">
        <v>11</v>
      </c>
      <c r="AU76" s="1">
        <v>1</v>
      </c>
      <c r="BG76" s="2">
        <v>38</v>
      </c>
      <c r="BH76" s="2">
        <v>0</v>
      </c>
      <c r="BI76" s="2">
        <v>24</v>
      </c>
      <c r="BJ76" s="2">
        <v>110</v>
      </c>
      <c r="BK76" s="2">
        <v>0</v>
      </c>
      <c r="BL76" s="2">
        <v>1</v>
      </c>
      <c r="BM76" s="2">
        <v>0</v>
      </c>
      <c r="BN76" s="2">
        <v>0</v>
      </c>
      <c r="BO76" s="2" t="s">
        <v>499</v>
      </c>
      <c r="BP76" s="2">
        <v>0</v>
      </c>
      <c r="BQ76" s="2">
        <v>0</v>
      </c>
      <c r="CG76" s="5">
        <v>1.31</v>
      </c>
      <c r="CH76" s="5">
        <v>1.44</v>
      </c>
    </row>
    <row r="77" spans="42:86" x14ac:dyDescent="0.55000000000000004">
      <c r="AP77" s="1">
        <v>0.36</v>
      </c>
      <c r="AQ77" s="2">
        <v>21</v>
      </c>
      <c r="AR77" s="1">
        <v>0</v>
      </c>
      <c r="AS77" s="1">
        <v>1</v>
      </c>
      <c r="AT77" s="1">
        <v>13</v>
      </c>
      <c r="AU77" s="1">
        <v>24</v>
      </c>
      <c r="BG77" s="2">
        <v>38</v>
      </c>
      <c r="BH77" s="2">
        <v>1</v>
      </c>
      <c r="BI77" s="2">
        <v>24</v>
      </c>
      <c r="BJ77" s="2">
        <v>105</v>
      </c>
      <c r="BK77" s="2">
        <v>1</v>
      </c>
      <c r="BL77" s="2">
        <v>0</v>
      </c>
      <c r="BM77" s="2">
        <v>0</v>
      </c>
      <c r="BN77" s="2">
        <v>0</v>
      </c>
      <c r="BO77" s="2" t="s">
        <v>210</v>
      </c>
      <c r="BP77" s="2">
        <v>1</v>
      </c>
      <c r="BQ77" s="2">
        <v>0</v>
      </c>
      <c r="CG77" s="5">
        <v>1.03</v>
      </c>
      <c r="CH77" s="5">
        <v>1.22</v>
      </c>
    </row>
    <row r="78" spans="42:86" x14ac:dyDescent="0.55000000000000004">
      <c r="AP78" s="1">
        <v>0.36</v>
      </c>
      <c r="AQ78" s="2">
        <v>21</v>
      </c>
      <c r="AR78" s="1">
        <v>0</v>
      </c>
      <c r="AS78" s="1">
        <v>1</v>
      </c>
      <c r="AT78" s="1">
        <v>4</v>
      </c>
      <c r="AU78" s="1">
        <v>11</v>
      </c>
      <c r="BG78" s="2">
        <v>39</v>
      </c>
      <c r="BH78" s="2">
        <v>0</v>
      </c>
      <c r="BI78" s="2">
        <v>25</v>
      </c>
      <c r="BJ78" s="2">
        <v>118</v>
      </c>
      <c r="BK78" s="2">
        <v>1</v>
      </c>
      <c r="BL78" s="2">
        <v>0</v>
      </c>
      <c r="BM78" s="2">
        <v>0</v>
      </c>
      <c r="BN78" s="2">
        <v>0</v>
      </c>
      <c r="BO78" s="2" t="s">
        <v>241</v>
      </c>
      <c r="BP78" s="2">
        <v>0</v>
      </c>
      <c r="BQ78" s="2">
        <v>1</v>
      </c>
      <c r="CG78" s="5">
        <v>1.61</v>
      </c>
      <c r="CH78" s="5">
        <v>1.77</v>
      </c>
    </row>
    <row r="79" spans="42:86" x14ac:dyDescent="0.55000000000000004">
      <c r="AP79" s="1">
        <v>0.36</v>
      </c>
      <c r="AQ79" s="2">
        <v>22</v>
      </c>
      <c r="AR79" s="1">
        <v>0</v>
      </c>
      <c r="AS79" s="1">
        <v>0</v>
      </c>
      <c r="AT79" s="1">
        <v>10</v>
      </c>
      <c r="AU79" s="1">
        <v>4</v>
      </c>
      <c r="BG79" s="2">
        <v>39</v>
      </c>
      <c r="BH79" s="2">
        <v>1</v>
      </c>
      <c r="BI79" s="2">
        <v>25</v>
      </c>
      <c r="BJ79" s="2">
        <v>105</v>
      </c>
      <c r="BK79" s="2">
        <v>0</v>
      </c>
      <c r="BL79" s="2">
        <v>1</v>
      </c>
      <c r="BM79" s="2">
        <v>1</v>
      </c>
      <c r="BN79" s="2">
        <v>0</v>
      </c>
      <c r="BO79" s="2" t="s">
        <v>499</v>
      </c>
      <c r="BP79" s="2">
        <v>0</v>
      </c>
      <c r="BQ79" s="2">
        <v>0</v>
      </c>
      <c r="CG79" s="5">
        <v>1.52</v>
      </c>
      <c r="CH79" s="5">
        <v>1.6</v>
      </c>
    </row>
    <row r="80" spans="42:86" x14ac:dyDescent="0.55000000000000004">
      <c r="AP80" s="1">
        <v>0.36</v>
      </c>
      <c r="AQ80" s="2">
        <v>22</v>
      </c>
      <c r="AR80" s="1">
        <v>0</v>
      </c>
      <c r="AS80" s="1">
        <v>0</v>
      </c>
      <c r="AT80" s="1">
        <v>20</v>
      </c>
      <c r="AU80" s="1">
        <v>20</v>
      </c>
      <c r="BG80" s="2">
        <v>40</v>
      </c>
      <c r="BH80" s="2">
        <v>0</v>
      </c>
      <c r="BI80" s="2">
        <v>25</v>
      </c>
      <c r="BJ80" s="2">
        <v>120</v>
      </c>
      <c r="BK80" s="2">
        <v>0</v>
      </c>
      <c r="BL80" s="2">
        <v>0</v>
      </c>
      <c r="BM80" s="2">
        <v>0</v>
      </c>
      <c r="BN80" s="2">
        <v>1</v>
      </c>
      <c r="BO80" s="2" t="s">
        <v>499</v>
      </c>
      <c r="BP80" s="2">
        <v>0</v>
      </c>
      <c r="BQ80" s="2">
        <v>0</v>
      </c>
      <c r="CG80" s="5">
        <v>1.1100000000000001</v>
      </c>
      <c r="CH80" s="5">
        <v>1.1299999999999999</v>
      </c>
    </row>
    <row r="81" spans="42:86" x14ac:dyDescent="0.55000000000000004">
      <c r="AP81" s="1">
        <v>0.36</v>
      </c>
      <c r="AQ81" s="2">
        <v>23</v>
      </c>
      <c r="AR81" s="1">
        <v>0</v>
      </c>
      <c r="AS81" s="1">
        <v>0</v>
      </c>
      <c r="AT81" s="1">
        <v>16</v>
      </c>
      <c r="AU81" s="1">
        <v>6</v>
      </c>
      <c r="BG81" s="2">
        <v>40</v>
      </c>
      <c r="BH81" s="2">
        <v>1</v>
      </c>
      <c r="BI81" s="2">
        <v>25</v>
      </c>
      <c r="BJ81" s="2">
        <v>85</v>
      </c>
      <c r="BK81" s="2">
        <v>0</v>
      </c>
      <c r="BL81" s="2">
        <v>0</v>
      </c>
      <c r="BM81" s="2">
        <v>0</v>
      </c>
      <c r="BN81" s="2">
        <v>1</v>
      </c>
      <c r="BO81" s="2" t="s">
        <v>499</v>
      </c>
      <c r="BP81" s="2">
        <v>0</v>
      </c>
      <c r="BQ81" s="2">
        <v>0</v>
      </c>
      <c r="CG81" s="5">
        <v>0.85</v>
      </c>
      <c r="CH81" s="5">
        <v>1.06</v>
      </c>
    </row>
    <row r="82" spans="42:86" x14ac:dyDescent="0.55000000000000004">
      <c r="AP82" s="1">
        <v>0.37</v>
      </c>
      <c r="AQ82" s="2">
        <v>24</v>
      </c>
      <c r="AR82" s="1">
        <v>0</v>
      </c>
      <c r="AS82" s="1">
        <v>0</v>
      </c>
      <c r="AT82" s="1">
        <v>15</v>
      </c>
      <c r="AU82" s="1">
        <v>4</v>
      </c>
      <c r="BG82" s="2">
        <v>41</v>
      </c>
      <c r="BH82" s="2">
        <v>0</v>
      </c>
      <c r="BI82" s="2">
        <v>25</v>
      </c>
      <c r="BJ82" s="2">
        <v>155</v>
      </c>
      <c r="BK82" s="2">
        <v>0</v>
      </c>
      <c r="BL82" s="2">
        <v>0</v>
      </c>
      <c r="BM82" s="2">
        <v>0</v>
      </c>
      <c r="BN82" s="2">
        <v>0</v>
      </c>
      <c r="BO82" s="2" t="s">
        <v>241</v>
      </c>
      <c r="BP82" s="2">
        <v>0</v>
      </c>
      <c r="BQ82" s="2">
        <v>1</v>
      </c>
      <c r="CG82" s="5">
        <v>1.2</v>
      </c>
      <c r="CH82" s="5">
        <v>1.38</v>
      </c>
    </row>
    <row r="83" spans="42:86" x14ac:dyDescent="0.55000000000000004">
      <c r="AP83" s="1">
        <v>0.37</v>
      </c>
      <c r="AQ83" s="2">
        <v>24</v>
      </c>
      <c r="AR83" s="1">
        <v>0</v>
      </c>
      <c r="AS83" s="1">
        <v>1</v>
      </c>
      <c r="AT83" s="1">
        <v>3</v>
      </c>
      <c r="AU83" s="1">
        <v>6</v>
      </c>
      <c r="BG83" s="2">
        <v>41</v>
      </c>
      <c r="BH83" s="2">
        <v>1</v>
      </c>
      <c r="BI83" s="2">
        <v>25</v>
      </c>
      <c r="BJ83" s="2">
        <v>115</v>
      </c>
      <c r="BK83" s="2">
        <v>0</v>
      </c>
      <c r="BL83" s="2">
        <v>0</v>
      </c>
      <c r="BM83" s="2">
        <v>0</v>
      </c>
      <c r="BN83" s="2">
        <v>0</v>
      </c>
      <c r="BO83" s="2" t="s">
        <v>499</v>
      </c>
      <c r="BP83" s="2">
        <v>0</v>
      </c>
      <c r="BQ83" s="2">
        <v>0</v>
      </c>
      <c r="CG83" s="5">
        <v>1.0900000000000001</v>
      </c>
      <c r="CH83" s="5">
        <v>1.24</v>
      </c>
    </row>
    <row r="84" spans="42:86" x14ac:dyDescent="0.55000000000000004">
      <c r="AP84" s="1">
        <v>0.37</v>
      </c>
      <c r="AQ84" s="2">
        <v>24</v>
      </c>
      <c r="AR84" s="1">
        <v>0</v>
      </c>
      <c r="AS84" s="1">
        <v>0</v>
      </c>
      <c r="AT84" s="1">
        <v>15</v>
      </c>
      <c r="AU84" s="1">
        <v>2</v>
      </c>
      <c r="BG84" s="2">
        <v>42</v>
      </c>
      <c r="BH84" s="2">
        <v>0</v>
      </c>
      <c r="BI84" s="2">
        <v>25</v>
      </c>
      <c r="BJ84" s="2">
        <v>125</v>
      </c>
      <c r="BK84" s="2">
        <v>0</v>
      </c>
      <c r="BL84" s="2">
        <v>0</v>
      </c>
      <c r="BM84" s="2">
        <v>0</v>
      </c>
      <c r="BN84" s="2">
        <v>0</v>
      </c>
      <c r="BO84" s="2" t="s">
        <v>210</v>
      </c>
      <c r="BP84" s="2">
        <v>1</v>
      </c>
      <c r="BQ84" s="2">
        <v>0</v>
      </c>
      <c r="CG84" s="5">
        <v>1.27</v>
      </c>
      <c r="CH84" s="5">
        <v>1.29</v>
      </c>
    </row>
    <row r="85" spans="42:86" x14ac:dyDescent="0.55000000000000004">
      <c r="AP85" s="1">
        <v>0.37</v>
      </c>
      <c r="AQ85" s="2">
        <v>24</v>
      </c>
      <c r="AR85" s="1">
        <v>1</v>
      </c>
      <c r="AS85" s="1">
        <v>1</v>
      </c>
      <c r="AT85" s="1">
        <v>7</v>
      </c>
      <c r="AU85" s="1">
        <v>6</v>
      </c>
      <c r="BG85" s="2">
        <v>42</v>
      </c>
      <c r="BH85" s="2">
        <v>1</v>
      </c>
      <c r="BI85" s="2">
        <v>25</v>
      </c>
      <c r="BJ85" s="2">
        <v>92</v>
      </c>
      <c r="BK85" s="2">
        <v>1</v>
      </c>
      <c r="BL85" s="2">
        <v>0</v>
      </c>
      <c r="BM85" s="2">
        <v>0</v>
      </c>
      <c r="BN85" s="2">
        <v>0</v>
      </c>
      <c r="BO85" s="2" t="s">
        <v>241</v>
      </c>
      <c r="BP85" s="2">
        <v>0</v>
      </c>
      <c r="BQ85" s="2">
        <v>1</v>
      </c>
      <c r="CG85" s="5">
        <v>2.06</v>
      </c>
      <c r="CH85" s="5">
        <v>2.08</v>
      </c>
    </row>
    <row r="86" spans="42:86" x14ac:dyDescent="0.55000000000000004">
      <c r="AP86" s="1">
        <v>0.38</v>
      </c>
      <c r="AQ86" s="2">
        <v>25</v>
      </c>
      <c r="AR86" s="1">
        <v>0</v>
      </c>
      <c r="AS86" s="1">
        <v>0</v>
      </c>
      <c r="AT86" s="1">
        <v>13</v>
      </c>
      <c r="AU86" s="1">
        <v>10</v>
      </c>
      <c r="BG86" s="2">
        <v>43</v>
      </c>
      <c r="BH86" s="2">
        <v>0</v>
      </c>
      <c r="BI86" s="2">
        <v>25</v>
      </c>
      <c r="BJ86" s="2">
        <v>140</v>
      </c>
      <c r="BK86" s="2">
        <v>0</v>
      </c>
      <c r="BL86" s="2">
        <v>0</v>
      </c>
      <c r="BM86" s="2">
        <v>0</v>
      </c>
      <c r="BN86" s="2">
        <v>0</v>
      </c>
      <c r="BO86" s="2" t="s">
        <v>241</v>
      </c>
      <c r="BP86" s="2">
        <v>0</v>
      </c>
      <c r="BQ86" s="2">
        <v>1</v>
      </c>
      <c r="CG86" s="5">
        <v>1.21</v>
      </c>
      <c r="CH86" s="5">
        <v>1.31</v>
      </c>
    </row>
    <row r="87" spans="42:86" x14ac:dyDescent="0.55000000000000004">
      <c r="AP87" s="1">
        <v>0.38</v>
      </c>
      <c r="AQ87" s="2">
        <v>25</v>
      </c>
      <c r="AR87" s="1">
        <v>1</v>
      </c>
      <c r="AS87" s="1">
        <v>1</v>
      </c>
      <c r="AT87" s="1">
        <v>6</v>
      </c>
      <c r="AU87" s="1">
        <v>3</v>
      </c>
      <c r="BG87" s="2">
        <v>43</v>
      </c>
      <c r="BH87" s="2">
        <v>1</v>
      </c>
      <c r="BI87" s="2">
        <v>25</v>
      </c>
      <c r="BJ87" s="2">
        <v>89</v>
      </c>
      <c r="BK87" s="2">
        <v>0</v>
      </c>
      <c r="BL87" s="2">
        <v>1</v>
      </c>
      <c r="BM87" s="2">
        <v>0</v>
      </c>
      <c r="BN87" s="2">
        <v>0</v>
      </c>
      <c r="BO87" s="2" t="s">
        <v>499</v>
      </c>
      <c r="BP87" s="2">
        <v>0</v>
      </c>
      <c r="BQ87" s="2">
        <v>0</v>
      </c>
      <c r="CG87" s="5">
        <v>0.77</v>
      </c>
      <c r="CH87" s="5">
        <v>0.82</v>
      </c>
    </row>
    <row r="88" spans="42:86" x14ac:dyDescent="0.55000000000000004">
      <c r="AP88" s="1">
        <v>0.38</v>
      </c>
      <c r="AQ88" s="2">
        <v>25</v>
      </c>
      <c r="AR88" s="1">
        <v>0</v>
      </c>
      <c r="AS88" s="1">
        <v>0</v>
      </c>
      <c r="AT88" s="1">
        <v>4</v>
      </c>
      <c r="AU88" s="1">
        <v>11</v>
      </c>
      <c r="BG88" s="2">
        <v>44</v>
      </c>
      <c r="BH88" s="2">
        <v>0</v>
      </c>
      <c r="BI88" s="2">
        <v>25</v>
      </c>
      <c r="BJ88" s="2">
        <v>241</v>
      </c>
      <c r="BK88" s="2">
        <v>0</v>
      </c>
      <c r="BL88" s="2">
        <v>0</v>
      </c>
      <c r="BM88" s="2">
        <v>1</v>
      </c>
      <c r="BN88" s="2">
        <v>0</v>
      </c>
      <c r="BO88" s="2" t="s">
        <v>210</v>
      </c>
      <c r="BP88" s="2">
        <v>1</v>
      </c>
      <c r="BQ88" s="2">
        <v>0</v>
      </c>
      <c r="CG88" s="5">
        <v>1.06</v>
      </c>
      <c r="CH88" s="5">
        <v>1.28</v>
      </c>
    </row>
    <row r="89" spans="42:86" x14ac:dyDescent="0.55000000000000004">
      <c r="AP89" s="1">
        <v>0.38</v>
      </c>
      <c r="AQ89" s="2">
        <v>26</v>
      </c>
      <c r="AR89" s="1">
        <v>0</v>
      </c>
      <c r="AS89" s="1">
        <v>0</v>
      </c>
      <c r="AT89" s="1">
        <v>17</v>
      </c>
      <c r="AU89" s="1">
        <v>5</v>
      </c>
      <c r="BG89" s="2">
        <v>44</v>
      </c>
      <c r="BH89" s="2">
        <v>1</v>
      </c>
      <c r="BI89" s="2">
        <v>25</v>
      </c>
      <c r="BJ89" s="2">
        <v>105</v>
      </c>
      <c r="BK89" s="2">
        <v>0</v>
      </c>
      <c r="BL89" s="2">
        <v>1</v>
      </c>
      <c r="BM89" s="2">
        <v>0</v>
      </c>
      <c r="BN89" s="2">
        <v>0</v>
      </c>
      <c r="BO89" s="2" t="s">
        <v>499</v>
      </c>
      <c r="BP89" s="2">
        <v>0</v>
      </c>
      <c r="BQ89" s="2">
        <v>0</v>
      </c>
      <c r="CG89" s="5">
        <v>1.02</v>
      </c>
      <c r="CH89" s="5">
        <v>1.1499999999999999</v>
      </c>
    </row>
    <row r="90" spans="42:86" x14ac:dyDescent="0.55000000000000004">
      <c r="AP90" s="1">
        <v>0.38</v>
      </c>
      <c r="AQ90" s="2">
        <v>26</v>
      </c>
      <c r="AR90" s="1">
        <v>0</v>
      </c>
      <c r="AS90" s="1">
        <v>1</v>
      </c>
      <c r="AT90" s="1">
        <v>6</v>
      </c>
      <c r="AU90" s="1">
        <v>12</v>
      </c>
      <c r="BG90" s="2">
        <v>45</v>
      </c>
      <c r="BH90" s="2">
        <v>0</v>
      </c>
      <c r="BI90" s="2">
        <v>26</v>
      </c>
      <c r="BJ90" s="2">
        <v>113</v>
      </c>
      <c r="BK90" s="2">
        <v>1</v>
      </c>
      <c r="BL90" s="2">
        <v>0</v>
      </c>
      <c r="BM90" s="2">
        <v>0</v>
      </c>
      <c r="BN90" s="2">
        <v>0</v>
      </c>
      <c r="BO90" s="2" t="s">
        <v>241</v>
      </c>
      <c r="BP90" s="2">
        <v>0</v>
      </c>
      <c r="BQ90" s="2">
        <v>1</v>
      </c>
      <c r="CG90" s="5">
        <v>1</v>
      </c>
      <c r="CH90" s="5">
        <v>1.04</v>
      </c>
    </row>
    <row r="91" spans="42:86" x14ac:dyDescent="0.55000000000000004">
      <c r="AP91" s="1">
        <v>0.39</v>
      </c>
      <c r="AQ91" s="2">
        <v>26</v>
      </c>
      <c r="AR91" s="1">
        <v>1</v>
      </c>
      <c r="AS91" s="1">
        <v>0</v>
      </c>
      <c r="AT91" s="1">
        <v>16</v>
      </c>
      <c r="AU91" s="1">
        <v>8</v>
      </c>
      <c r="BG91" s="2">
        <v>45</v>
      </c>
      <c r="BH91" s="2">
        <v>1</v>
      </c>
      <c r="BI91" s="2">
        <v>26</v>
      </c>
      <c r="BJ91" s="2">
        <v>117</v>
      </c>
      <c r="BK91" s="2">
        <v>1</v>
      </c>
      <c r="BL91" s="2">
        <v>1</v>
      </c>
      <c r="BM91" s="2">
        <v>0</v>
      </c>
      <c r="BN91" s="2">
        <v>0</v>
      </c>
      <c r="BO91" s="2" t="s">
        <v>241</v>
      </c>
      <c r="BP91" s="2">
        <v>0</v>
      </c>
      <c r="BQ91" s="2">
        <v>1</v>
      </c>
      <c r="CG91" s="5">
        <v>1.47</v>
      </c>
      <c r="CH91" s="5">
        <v>1.51</v>
      </c>
    </row>
    <row r="92" spans="42:86" x14ac:dyDescent="0.55000000000000004">
      <c r="AP92" s="1">
        <v>0.39</v>
      </c>
      <c r="AQ92" s="2">
        <v>28</v>
      </c>
      <c r="AR92" s="1">
        <v>0</v>
      </c>
      <c r="AS92" s="1">
        <v>0</v>
      </c>
      <c r="AT92" s="1">
        <v>20</v>
      </c>
      <c r="AU92" s="1">
        <v>3</v>
      </c>
      <c r="BG92" s="2">
        <v>46</v>
      </c>
      <c r="BH92" s="2">
        <v>0</v>
      </c>
      <c r="BI92" s="2">
        <v>26</v>
      </c>
      <c r="BJ92" s="2">
        <v>168</v>
      </c>
      <c r="BK92" s="2">
        <v>1</v>
      </c>
      <c r="BL92" s="2">
        <v>0</v>
      </c>
      <c r="BM92" s="2">
        <v>0</v>
      </c>
      <c r="BN92" s="2">
        <v>0</v>
      </c>
      <c r="BO92" s="2" t="s">
        <v>210</v>
      </c>
      <c r="BP92" s="2">
        <v>1</v>
      </c>
      <c r="BQ92" s="2">
        <v>0</v>
      </c>
      <c r="CG92" s="5">
        <v>0.97</v>
      </c>
      <c r="CH92" s="5">
        <v>1.1299999999999999</v>
      </c>
    </row>
    <row r="93" spans="42:86" x14ac:dyDescent="0.55000000000000004">
      <c r="AP93" s="1">
        <v>0.39</v>
      </c>
      <c r="AQ93" s="2">
        <v>28</v>
      </c>
      <c r="AR93" s="1">
        <v>1</v>
      </c>
      <c r="AS93" s="1">
        <v>0</v>
      </c>
      <c r="AT93" s="1">
        <v>30</v>
      </c>
      <c r="AU93" s="1">
        <v>4</v>
      </c>
      <c r="BG93" s="2">
        <v>46</v>
      </c>
      <c r="BH93" s="2">
        <v>1</v>
      </c>
      <c r="BI93" s="2">
        <v>26</v>
      </c>
      <c r="BJ93" s="2">
        <v>96</v>
      </c>
      <c r="BK93" s="2">
        <v>0</v>
      </c>
      <c r="BL93" s="2">
        <v>0</v>
      </c>
      <c r="BM93" s="2">
        <v>0</v>
      </c>
      <c r="BN93" s="2">
        <v>0</v>
      </c>
      <c r="BO93" s="2" t="s">
        <v>499</v>
      </c>
      <c r="BP93" s="2">
        <v>0</v>
      </c>
      <c r="BQ93" s="2">
        <v>0</v>
      </c>
      <c r="CG93" s="5">
        <v>1.7</v>
      </c>
      <c r="CH93" s="5">
        <v>1.84</v>
      </c>
    </row>
    <row r="94" spans="42:86" x14ac:dyDescent="0.55000000000000004">
      <c r="AP94" s="1">
        <v>0.39</v>
      </c>
      <c r="AQ94" s="2">
        <v>29</v>
      </c>
      <c r="AR94" s="1">
        <v>0</v>
      </c>
      <c r="AS94" s="1">
        <v>0</v>
      </c>
      <c r="AT94" s="1">
        <v>16</v>
      </c>
      <c r="AU94" s="1">
        <v>3</v>
      </c>
      <c r="BG94" s="2">
        <v>47</v>
      </c>
      <c r="BH94" s="2">
        <v>0</v>
      </c>
      <c r="BI94" s="2">
        <v>26</v>
      </c>
      <c r="BJ94" s="2">
        <v>133</v>
      </c>
      <c r="BK94" s="2">
        <v>1</v>
      </c>
      <c r="BL94" s="2">
        <v>1</v>
      </c>
      <c r="BM94" s="2">
        <v>0</v>
      </c>
      <c r="BN94" s="2">
        <v>0</v>
      </c>
      <c r="BO94" s="2" t="s">
        <v>499</v>
      </c>
      <c r="BP94" s="2">
        <v>0</v>
      </c>
      <c r="BQ94" s="2">
        <v>0</v>
      </c>
      <c r="CG94" s="5">
        <v>1.78</v>
      </c>
      <c r="CH94" s="5">
        <v>1.94</v>
      </c>
    </row>
    <row r="95" spans="42:86" x14ac:dyDescent="0.55000000000000004">
      <c r="AP95" s="1">
        <v>0.39</v>
      </c>
      <c r="AQ95" s="2">
        <v>29</v>
      </c>
      <c r="AR95" s="1">
        <v>1</v>
      </c>
      <c r="AS95" s="1">
        <v>0</v>
      </c>
      <c r="AT95" s="1">
        <v>12</v>
      </c>
      <c r="AU95" s="1">
        <v>15</v>
      </c>
      <c r="BG95" s="2">
        <v>47</v>
      </c>
      <c r="BH95" s="2">
        <v>1</v>
      </c>
      <c r="BI95" s="2">
        <v>26</v>
      </c>
      <c r="BJ95" s="2">
        <v>154</v>
      </c>
      <c r="BK95" s="2">
        <v>0</v>
      </c>
      <c r="BL95" s="2">
        <v>1</v>
      </c>
      <c r="BM95" s="2">
        <v>1</v>
      </c>
      <c r="BN95" s="2">
        <v>0</v>
      </c>
      <c r="BO95" s="2" t="s">
        <v>499</v>
      </c>
      <c r="BP95" s="2">
        <v>0</v>
      </c>
      <c r="BQ95" s="2">
        <v>0</v>
      </c>
      <c r="CG95" s="5">
        <v>0.93</v>
      </c>
      <c r="CH95" s="5">
        <v>1.32</v>
      </c>
    </row>
    <row r="96" spans="42:86" x14ac:dyDescent="0.55000000000000004">
      <c r="AP96" s="1">
        <v>0.4</v>
      </c>
      <c r="AQ96" s="2">
        <v>29</v>
      </c>
      <c r="AR96" s="1">
        <v>1</v>
      </c>
      <c r="AS96" s="1">
        <v>1</v>
      </c>
      <c r="AT96" s="1">
        <v>10</v>
      </c>
      <c r="AU96" s="1">
        <v>7</v>
      </c>
      <c r="BG96" s="2">
        <v>48</v>
      </c>
      <c r="BH96" s="2">
        <v>0</v>
      </c>
      <c r="BI96" s="2">
        <v>26</v>
      </c>
      <c r="BJ96" s="2">
        <v>160</v>
      </c>
      <c r="BK96" s="2">
        <v>0</v>
      </c>
      <c r="BL96" s="2">
        <v>0</v>
      </c>
      <c r="BM96" s="2">
        <v>0</v>
      </c>
      <c r="BN96" s="2">
        <v>0</v>
      </c>
      <c r="BO96" s="2" t="s">
        <v>499</v>
      </c>
      <c r="BP96" s="2">
        <v>0</v>
      </c>
      <c r="BQ96" s="2">
        <v>0</v>
      </c>
      <c r="CG96" s="5">
        <v>0.92</v>
      </c>
      <c r="CH96" s="5">
        <v>1.36</v>
      </c>
    </row>
    <row r="97" spans="42:86" x14ac:dyDescent="0.55000000000000004">
      <c r="AP97" s="1">
        <v>0.4</v>
      </c>
      <c r="AQ97" s="2">
        <v>29</v>
      </c>
      <c r="AR97" s="1">
        <v>0</v>
      </c>
      <c r="AS97" s="1">
        <v>1</v>
      </c>
      <c r="AT97" s="1">
        <v>7</v>
      </c>
      <c r="AU97" s="1">
        <v>6</v>
      </c>
      <c r="BG97" s="2">
        <v>48</v>
      </c>
      <c r="BH97" s="2">
        <v>1</v>
      </c>
      <c r="BI97" s="2">
        <v>26</v>
      </c>
      <c r="BJ97" s="2">
        <v>190</v>
      </c>
      <c r="BK97" s="2">
        <v>1</v>
      </c>
      <c r="BL97" s="2">
        <v>0</v>
      </c>
      <c r="BM97" s="2">
        <v>0</v>
      </c>
      <c r="BN97" s="2">
        <v>0</v>
      </c>
      <c r="BO97" s="2" t="s">
        <v>241</v>
      </c>
      <c r="BP97" s="2">
        <v>0</v>
      </c>
      <c r="BQ97" s="2">
        <v>1</v>
      </c>
      <c r="CG97" s="5">
        <v>1.59</v>
      </c>
      <c r="CH97" s="5">
        <v>1.88</v>
      </c>
    </row>
    <row r="98" spans="42:86" x14ac:dyDescent="0.55000000000000004">
      <c r="AP98" s="1">
        <v>0.4</v>
      </c>
      <c r="AQ98" s="2">
        <v>30</v>
      </c>
      <c r="AR98" s="1">
        <v>0</v>
      </c>
      <c r="AS98" s="1">
        <v>1</v>
      </c>
      <c r="AT98" s="1">
        <v>4</v>
      </c>
      <c r="AU98" s="1">
        <v>4</v>
      </c>
      <c r="BG98" s="2">
        <v>49</v>
      </c>
      <c r="BH98" s="2">
        <v>0</v>
      </c>
      <c r="BI98" s="2">
        <v>27</v>
      </c>
      <c r="BJ98" s="2">
        <v>124</v>
      </c>
      <c r="BK98" s="2">
        <v>1</v>
      </c>
      <c r="BL98" s="2">
        <v>0</v>
      </c>
      <c r="BM98" s="2">
        <v>0</v>
      </c>
      <c r="BN98" s="2">
        <v>0</v>
      </c>
      <c r="BO98" s="2" t="s">
        <v>241</v>
      </c>
      <c r="BP98" s="2">
        <v>0</v>
      </c>
      <c r="BQ98" s="2">
        <v>1</v>
      </c>
      <c r="CG98" s="5">
        <v>0.68</v>
      </c>
      <c r="CH98" s="5">
        <v>0.73</v>
      </c>
    </row>
    <row r="99" spans="42:86" x14ac:dyDescent="0.55000000000000004">
      <c r="AP99" s="1">
        <v>0.4</v>
      </c>
      <c r="AQ99" s="2">
        <v>30</v>
      </c>
      <c r="AR99" s="1">
        <v>0</v>
      </c>
      <c r="AS99" s="1">
        <v>0</v>
      </c>
      <c r="AT99" s="1">
        <v>9</v>
      </c>
      <c r="AU99" s="1">
        <v>12</v>
      </c>
      <c r="BG99" s="2">
        <v>49</v>
      </c>
      <c r="BH99" s="2">
        <v>1</v>
      </c>
      <c r="BI99" s="2">
        <v>27</v>
      </c>
      <c r="BJ99" s="2">
        <v>130</v>
      </c>
      <c r="BK99" s="2">
        <v>0</v>
      </c>
      <c r="BL99" s="2">
        <v>0</v>
      </c>
      <c r="BM99" s="2">
        <v>0</v>
      </c>
      <c r="BN99" s="2">
        <v>1</v>
      </c>
      <c r="BO99" s="2" t="s">
        <v>210</v>
      </c>
      <c r="BP99" s="2">
        <v>1</v>
      </c>
      <c r="BQ99" s="2">
        <v>0</v>
      </c>
      <c r="CG99" s="5">
        <v>0.7</v>
      </c>
      <c r="CH99" s="5">
        <v>0.78</v>
      </c>
    </row>
    <row r="100" spans="42:86" x14ac:dyDescent="0.55000000000000004">
      <c r="AP100" s="1">
        <v>0.4</v>
      </c>
      <c r="AQ100" s="2">
        <v>30</v>
      </c>
      <c r="AR100" s="1">
        <v>1</v>
      </c>
      <c r="AS100" s="1">
        <v>1</v>
      </c>
      <c r="AT100" s="1">
        <v>22</v>
      </c>
      <c r="AU100" s="1">
        <v>10</v>
      </c>
      <c r="BG100" s="2">
        <v>50</v>
      </c>
      <c r="BH100" s="2">
        <v>0</v>
      </c>
      <c r="BI100" s="2">
        <v>28</v>
      </c>
      <c r="BJ100" s="2">
        <v>120</v>
      </c>
      <c r="BK100" s="2">
        <v>0</v>
      </c>
      <c r="BL100" s="2">
        <v>0</v>
      </c>
      <c r="BM100" s="2">
        <v>0</v>
      </c>
      <c r="BN100" s="2">
        <v>0</v>
      </c>
      <c r="BO100" s="2" t="s">
        <v>499</v>
      </c>
      <c r="BP100" s="2">
        <v>0</v>
      </c>
      <c r="BQ100" s="2">
        <v>0</v>
      </c>
      <c r="CG100" s="5">
        <v>1.08</v>
      </c>
      <c r="CH100" s="5">
        <v>1.01</v>
      </c>
    </row>
    <row r="101" spans="42:86" x14ac:dyDescent="0.55000000000000004">
      <c r="AP101" s="1">
        <v>0.4</v>
      </c>
      <c r="AQ101" s="2">
        <v>30</v>
      </c>
      <c r="AR101" s="1">
        <v>1</v>
      </c>
      <c r="AS101" s="1">
        <v>1</v>
      </c>
      <c r="AT101" s="1">
        <v>6</v>
      </c>
      <c r="AU101" s="1">
        <v>3</v>
      </c>
      <c r="BG101" s="2">
        <v>50</v>
      </c>
      <c r="BH101" s="2">
        <v>1</v>
      </c>
      <c r="BI101" s="2">
        <v>28</v>
      </c>
      <c r="BJ101" s="2">
        <v>120</v>
      </c>
      <c r="BK101" s="2">
        <v>1</v>
      </c>
      <c r="BL101" s="2">
        <v>1</v>
      </c>
      <c r="BM101" s="2">
        <v>0</v>
      </c>
      <c r="BN101" s="2">
        <v>1</v>
      </c>
      <c r="BO101" s="2" t="s">
        <v>499</v>
      </c>
      <c r="BP101" s="2">
        <v>0</v>
      </c>
      <c r="BQ101" s="2">
        <v>0</v>
      </c>
      <c r="CG101" s="5">
        <v>0.83</v>
      </c>
      <c r="CH101" s="5">
        <v>0.9</v>
      </c>
    </row>
    <row r="102" spans="42:86" x14ac:dyDescent="0.55000000000000004">
      <c r="AP102" s="1">
        <v>0.4</v>
      </c>
      <c r="AQ102" s="2">
        <v>31</v>
      </c>
      <c r="AR102" s="1">
        <v>0</v>
      </c>
      <c r="AS102" s="1">
        <v>1</v>
      </c>
      <c r="AT102" s="1">
        <v>5</v>
      </c>
      <c r="AU102" s="1">
        <v>6</v>
      </c>
      <c r="BG102" s="2">
        <v>51</v>
      </c>
      <c r="BH102" s="2">
        <v>0</v>
      </c>
      <c r="BI102" s="2">
        <v>28</v>
      </c>
      <c r="BJ102" s="2">
        <v>130</v>
      </c>
      <c r="BK102" s="2">
        <v>0</v>
      </c>
      <c r="BL102" s="2">
        <v>0</v>
      </c>
      <c r="BM102" s="2">
        <v>0</v>
      </c>
      <c r="BN102" s="2">
        <v>0</v>
      </c>
      <c r="BO102" s="2" t="s">
        <v>499</v>
      </c>
      <c r="BP102" s="2">
        <v>0</v>
      </c>
      <c r="BQ102" s="2">
        <v>0</v>
      </c>
      <c r="CG102" s="5">
        <v>1.17</v>
      </c>
      <c r="CH102" s="5">
        <v>1.3</v>
      </c>
    </row>
    <row r="103" spans="42:86" x14ac:dyDescent="0.55000000000000004">
      <c r="AP103" s="1">
        <v>0.4</v>
      </c>
      <c r="AQ103" s="2">
        <v>31</v>
      </c>
      <c r="AR103" s="1">
        <v>0</v>
      </c>
      <c r="AS103" s="1">
        <v>0</v>
      </c>
      <c r="AT103" s="1">
        <v>26</v>
      </c>
      <c r="AU103" s="1">
        <v>3</v>
      </c>
      <c r="BG103" s="2">
        <v>51</v>
      </c>
      <c r="BH103" s="2">
        <v>1</v>
      </c>
      <c r="BI103" s="2">
        <v>28</v>
      </c>
      <c r="BJ103" s="2">
        <v>95</v>
      </c>
      <c r="BK103" s="2">
        <v>1</v>
      </c>
      <c r="BL103" s="2">
        <v>0</v>
      </c>
      <c r="BM103" s="2">
        <v>0</v>
      </c>
      <c r="BN103" s="2">
        <v>0</v>
      </c>
      <c r="BO103" s="2" t="s">
        <v>241</v>
      </c>
      <c r="BP103" s="2">
        <v>0</v>
      </c>
      <c r="BQ103" s="2">
        <v>1</v>
      </c>
      <c r="CG103" s="5">
        <v>0.98</v>
      </c>
      <c r="CH103" s="5">
        <v>0.96</v>
      </c>
    </row>
    <row r="104" spans="42:86" x14ac:dyDescent="0.55000000000000004">
      <c r="AP104" s="1">
        <v>0.4</v>
      </c>
      <c r="AQ104" s="2">
        <v>31</v>
      </c>
      <c r="AR104" s="1">
        <v>0</v>
      </c>
      <c r="AS104" s="1">
        <v>0</v>
      </c>
      <c r="AT104" s="1">
        <v>7</v>
      </c>
      <c r="AU104" s="1">
        <v>24</v>
      </c>
      <c r="BG104" s="2">
        <v>52</v>
      </c>
      <c r="BH104" s="2">
        <v>0</v>
      </c>
      <c r="BI104" s="2">
        <v>29</v>
      </c>
      <c r="BJ104" s="2">
        <v>135</v>
      </c>
      <c r="BK104" s="2">
        <v>0</v>
      </c>
      <c r="BL104" s="2">
        <v>0</v>
      </c>
      <c r="BM104" s="2">
        <v>0</v>
      </c>
      <c r="BN104" s="2">
        <v>0</v>
      </c>
      <c r="BO104" s="2" t="s">
        <v>241</v>
      </c>
      <c r="BP104" s="2">
        <v>0</v>
      </c>
      <c r="BQ104" s="2">
        <v>1</v>
      </c>
      <c r="CG104" s="5">
        <v>0.77</v>
      </c>
      <c r="CH104" s="5">
        <v>0.61</v>
      </c>
    </row>
    <row r="105" spans="42:86" x14ac:dyDescent="0.55000000000000004">
      <c r="AP105" s="1">
        <v>0.4</v>
      </c>
      <c r="AQ105" s="2">
        <v>32</v>
      </c>
      <c r="AR105" s="1">
        <v>1</v>
      </c>
      <c r="AS105" s="1">
        <v>1</v>
      </c>
      <c r="AT105" s="1">
        <v>10</v>
      </c>
      <c r="AU105" s="1">
        <v>12</v>
      </c>
      <c r="BG105" s="2">
        <v>52</v>
      </c>
      <c r="BH105" s="2">
        <v>1</v>
      </c>
      <c r="BI105" s="2">
        <v>29</v>
      </c>
      <c r="BJ105" s="2">
        <v>130</v>
      </c>
      <c r="BK105" s="2">
        <v>0</v>
      </c>
      <c r="BL105" s="2">
        <v>0</v>
      </c>
      <c r="BM105" s="2">
        <v>0</v>
      </c>
      <c r="BN105" s="2">
        <v>1</v>
      </c>
      <c r="BO105" s="2" t="s">
        <v>241</v>
      </c>
      <c r="BP105" s="2">
        <v>0</v>
      </c>
      <c r="BQ105" s="2">
        <v>1</v>
      </c>
      <c r="CG105" s="5">
        <v>0.91</v>
      </c>
      <c r="CH105" s="5">
        <v>1.27</v>
      </c>
    </row>
    <row r="106" spans="42:86" x14ac:dyDescent="0.55000000000000004">
      <c r="AP106" s="1">
        <v>0.4</v>
      </c>
      <c r="AQ106" s="2">
        <v>32</v>
      </c>
      <c r="AR106" s="1">
        <v>0</v>
      </c>
      <c r="AS106" s="1">
        <v>1</v>
      </c>
      <c r="AT106" s="1">
        <v>5</v>
      </c>
      <c r="AU106" s="1">
        <v>6</v>
      </c>
      <c r="BG106" s="2">
        <v>53</v>
      </c>
      <c r="BH106" s="2">
        <v>0</v>
      </c>
      <c r="BI106" s="2">
        <v>30</v>
      </c>
      <c r="BJ106" s="2">
        <v>95</v>
      </c>
      <c r="BK106" s="2">
        <v>1</v>
      </c>
      <c r="BL106" s="2">
        <v>0</v>
      </c>
      <c r="BM106" s="2">
        <v>0</v>
      </c>
      <c r="BN106" s="2">
        <v>0</v>
      </c>
      <c r="BO106" s="2" t="s">
        <v>241</v>
      </c>
      <c r="BP106" s="2">
        <v>0</v>
      </c>
      <c r="BQ106" s="2">
        <v>1</v>
      </c>
      <c r="CG106" s="5">
        <v>1.1000000000000001</v>
      </c>
      <c r="CH106" s="5">
        <v>1.05</v>
      </c>
    </row>
    <row r="107" spans="42:86" x14ac:dyDescent="0.55000000000000004">
      <c r="AP107" s="1">
        <v>0.4</v>
      </c>
      <c r="AQ107" s="2">
        <v>32</v>
      </c>
      <c r="AR107" s="1">
        <v>0</v>
      </c>
      <c r="AS107" s="1">
        <v>0</v>
      </c>
      <c r="AT107" s="1">
        <v>4</v>
      </c>
      <c r="AU107" s="1">
        <v>6</v>
      </c>
      <c r="BG107" s="2">
        <v>53</v>
      </c>
      <c r="BH107" s="2">
        <v>1</v>
      </c>
      <c r="BI107" s="2">
        <v>30</v>
      </c>
      <c r="BJ107" s="2">
        <v>142</v>
      </c>
      <c r="BK107" s="2">
        <v>1</v>
      </c>
      <c r="BL107" s="2">
        <v>1</v>
      </c>
      <c r="BM107" s="2">
        <v>0</v>
      </c>
      <c r="BN107" s="2">
        <v>0</v>
      </c>
      <c r="BO107" s="2" t="s">
        <v>241</v>
      </c>
      <c r="BP107" s="2">
        <v>0</v>
      </c>
      <c r="BQ107" s="2">
        <v>1</v>
      </c>
      <c r="CG107" s="5">
        <v>0.8</v>
      </c>
      <c r="CH107" s="5">
        <v>1.1200000000000001</v>
      </c>
    </row>
    <row r="108" spans="42:86" x14ac:dyDescent="0.55000000000000004">
      <c r="AP108" s="1">
        <v>0.4</v>
      </c>
      <c r="AQ108" s="2">
        <v>32</v>
      </c>
      <c r="AR108" s="1">
        <v>0</v>
      </c>
      <c r="AS108" s="1">
        <v>0</v>
      </c>
      <c r="AT108" s="1">
        <v>18</v>
      </c>
      <c r="AU108" s="1">
        <v>10</v>
      </c>
      <c r="BG108" s="2">
        <v>54</v>
      </c>
      <c r="BH108" s="2">
        <v>0</v>
      </c>
      <c r="BI108" s="2">
        <v>31</v>
      </c>
      <c r="BJ108" s="2">
        <v>215</v>
      </c>
      <c r="BK108" s="2">
        <v>1</v>
      </c>
      <c r="BL108" s="2">
        <v>0</v>
      </c>
      <c r="BM108" s="2">
        <v>0</v>
      </c>
      <c r="BN108" s="2">
        <v>0</v>
      </c>
      <c r="BO108" s="2" t="s">
        <v>241</v>
      </c>
      <c r="BP108" s="2">
        <v>0</v>
      </c>
      <c r="BQ108" s="2">
        <v>1</v>
      </c>
      <c r="CG108" s="5">
        <v>0.85</v>
      </c>
      <c r="CH108" s="5">
        <v>0.72</v>
      </c>
    </row>
    <row r="109" spans="42:86" x14ac:dyDescent="0.55000000000000004">
      <c r="AP109" s="1">
        <v>0.4</v>
      </c>
      <c r="AQ109" s="2">
        <v>33</v>
      </c>
      <c r="AR109" s="1">
        <v>0</v>
      </c>
      <c r="AS109" s="1">
        <v>0</v>
      </c>
      <c r="AT109" s="1">
        <v>13</v>
      </c>
      <c r="AU109" s="1">
        <v>9</v>
      </c>
      <c r="BG109" s="2">
        <v>54</v>
      </c>
      <c r="BH109" s="2">
        <v>1</v>
      </c>
      <c r="BI109" s="2">
        <v>31</v>
      </c>
      <c r="BJ109" s="2">
        <v>102</v>
      </c>
      <c r="BK109" s="2">
        <v>1</v>
      </c>
      <c r="BL109" s="2">
        <v>1</v>
      </c>
      <c r="BM109" s="2">
        <v>0</v>
      </c>
      <c r="BN109" s="2">
        <v>0</v>
      </c>
      <c r="BO109" s="2" t="s">
        <v>241</v>
      </c>
      <c r="BP109" s="2">
        <v>0</v>
      </c>
      <c r="BQ109" s="2">
        <v>1</v>
      </c>
      <c r="CG109" s="5">
        <v>0.82</v>
      </c>
      <c r="CH109" s="5">
        <v>0.87</v>
      </c>
    </row>
    <row r="110" spans="42:86" x14ac:dyDescent="0.55000000000000004">
      <c r="AP110" s="1">
        <v>0.4</v>
      </c>
      <c r="AQ110" s="2">
        <v>34</v>
      </c>
      <c r="AR110" s="1">
        <v>0</v>
      </c>
      <c r="AS110" s="1">
        <v>0</v>
      </c>
      <c r="AT110" s="1">
        <v>15</v>
      </c>
      <c r="AU110" s="1">
        <v>8</v>
      </c>
      <c r="BG110" s="2">
        <v>55</v>
      </c>
      <c r="BH110" s="2">
        <v>0</v>
      </c>
      <c r="BI110" s="2">
        <v>32</v>
      </c>
      <c r="BJ110" s="2">
        <v>121</v>
      </c>
      <c r="BK110" s="2">
        <v>0</v>
      </c>
      <c r="BL110" s="2">
        <v>0</v>
      </c>
      <c r="BM110" s="2">
        <v>0</v>
      </c>
      <c r="BN110" s="2">
        <v>0</v>
      </c>
      <c r="BO110" s="2" t="s">
        <v>499</v>
      </c>
      <c r="BP110" s="2">
        <v>0</v>
      </c>
      <c r="BQ110" s="2">
        <v>0</v>
      </c>
    </row>
    <row r="111" spans="42:86" x14ac:dyDescent="0.55000000000000004">
      <c r="AP111" s="1">
        <v>0.4</v>
      </c>
      <c r="AQ111" s="2">
        <v>34</v>
      </c>
      <c r="AR111" s="1">
        <v>0</v>
      </c>
      <c r="AS111" s="1">
        <v>0</v>
      </c>
      <c r="AT111" s="1">
        <v>20</v>
      </c>
      <c r="AU111" s="1">
        <v>30</v>
      </c>
      <c r="BG111" s="2">
        <v>55</v>
      </c>
      <c r="BH111" s="2">
        <v>1</v>
      </c>
      <c r="BI111" s="2">
        <v>32</v>
      </c>
      <c r="BJ111" s="2">
        <v>105</v>
      </c>
      <c r="BK111" s="2">
        <v>1</v>
      </c>
      <c r="BL111" s="2">
        <v>0</v>
      </c>
      <c r="BM111" s="2">
        <v>0</v>
      </c>
      <c r="BN111" s="2">
        <v>0</v>
      </c>
      <c r="BO111" s="2" t="s">
        <v>241</v>
      </c>
      <c r="BP111" s="2">
        <v>0</v>
      </c>
      <c r="BQ111" s="2">
        <v>1</v>
      </c>
    </row>
    <row r="112" spans="42:86" x14ac:dyDescent="0.55000000000000004">
      <c r="AP112" s="1">
        <v>0.41</v>
      </c>
      <c r="AQ112" s="2">
        <v>34</v>
      </c>
      <c r="AR112" s="1">
        <v>0</v>
      </c>
      <c r="AS112" s="1">
        <v>1</v>
      </c>
      <c r="AT112" s="1">
        <v>15</v>
      </c>
      <c r="AU112" s="1">
        <v>8</v>
      </c>
      <c r="BG112" s="2">
        <v>56</v>
      </c>
      <c r="BH112" s="2">
        <v>0</v>
      </c>
      <c r="BI112" s="2">
        <v>35</v>
      </c>
      <c r="BJ112" s="2">
        <v>170</v>
      </c>
      <c r="BK112" s="2">
        <v>0</v>
      </c>
      <c r="BL112" s="2">
        <v>1</v>
      </c>
      <c r="BM112" s="2">
        <v>0</v>
      </c>
      <c r="BN112" s="2">
        <v>0</v>
      </c>
      <c r="BO112" s="2" t="s">
        <v>241</v>
      </c>
      <c r="BP112" s="2">
        <v>0</v>
      </c>
      <c r="BQ112" s="2">
        <v>1</v>
      </c>
    </row>
    <row r="113" spans="42:69" x14ac:dyDescent="0.55000000000000004">
      <c r="AP113" s="1">
        <v>0.41</v>
      </c>
      <c r="AQ113" s="2">
        <v>34</v>
      </c>
      <c r="AR113" s="1">
        <v>0</v>
      </c>
      <c r="AS113" s="1">
        <v>0</v>
      </c>
      <c r="AT113" s="1">
        <v>27</v>
      </c>
      <c r="AU113" s="1">
        <v>8</v>
      </c>
      <c r="BG113" s="2">
        <v>56</v>
      </c>
      <c r="BH113" s="2">
        <v>1</v>
      </c>
      <c r="BI113" s="2">
        <v>34</v>
      </c>
      <c r="BJ113" s="2">
        <v>187</v>
      </c>
      <c r="BK113" s="2">
        <v>1</v>
      </c>
      <c r="BL113" s="2">
        <v>0</v>
      </c>
      <c r="BM113" s="2">
        <v>1</v>
      </c>
      <c r="BN113" s="2">
        <v>0</v>
      </c>
      <c r="BO113" s="2" t="s">
        <v>210</v>
      </c>
      <c r="BP113" s="2">
        <v>1</v>
      </c>
      <c r="BQ113" s="2">
        <v>0</v>
      </c>
    </row>
    <row r="114" spans="42:69" x14ac:dyDescent="0.55000000000000004">
      <c r="AP114" s="1">
        <v>0.41</v>
      </c>
      <c r="AQ114" s="2">
        <v>35</v>
      </c>
      <c r="AR114" s="1">
        <v>0</v>
      </c>
      <c r="AS114" s="1">
        <v>0</v>
      </c>
      <c r="AT114" s="1">
        <v>6</v>
      </c>
      <c r="AU114" s="1">
        <v>12</v>
      </c>
      <c r="BP114" s="2" t="s">
        <v>39</v>
      </c>
      <c r="BQ114" s="2" t="s">
        <v>39</v>
      </c>
    </row>
    <row r="115" spans="42:69" x14ac:dyDescent="0.55000000000000004">
      <c r="AP115" s="1">
        <v>0.41</v>
      </c>
      <c r="AQ115" s="2">
        <v>36</v>
      </c>
      <c r="AR115" s="1">
        <v>0</v>
      </c>
      <c r="AS115" s="1">
        <v>0</v>
      </c>
      <c r="AT115" s="1">
        <v>18</v>
      </c>
      <c r="AU115" s="1">
        <v>5</v>
      </c>
      <c r="BP115" s="2" t="s">
        <v>39</v>
      </c>
      <c r="BQ115" s="2" t="s">
        <v>39</v>
      </c>
    </row>
    <row r="116" spans="42:69" x14ac:dyDescent="0.55000000000000004">
      <c r="AP116" s="1">
        <v>0.41</v>
      </c>
      <c r="AQ116" s="2">
        <v>36</v>
      </c>
      <c r="AR116" s="1">
        <v>0</v>
      </c>
      <c r="AS116" s="1">
        <v>1</v>
      </c>
      <c r="AT116" s="1">
        <v>6</v>
      </c>
      <c r="AU116" s="1">
        <v>16</v>
      </c>
      <c r="BP116" s="2" t="s">
        <v>39</v>
      </c>
      <c r="BQ116" s="2" t="s">
        <v>39</v>
      </c>
    </row>
    <row r="117" spans="42:69" x14ac:dyDescent="0.55000000000000004">
      <c r="AP117" s="1">
        <v>0.41</v>
      </c>
      <c r="AQ117" s="2">
        <v>36</v>
      </c>
      <c r="AR117" s="1">
        <v>0</v>
      </c>
      <c r="AS117" s="1">
        <v>1</v>
      </c>
      <c r="AT117" s="1">
        <v>5</v>
      </c>
      <c r="AU117" s="1">
        <v>6</v>
      </c>
      <c r="BP117" s="2" t="s">
        <v>39</v>
      </c>
      <c r="BQ117" s="2" t="s">
        <v>39</v>
      </c>
    </row>
    <row r="118" spans="42:69" x14ac:dyDescent="0.55000000000000004">
      <c r="AP118" s="1">
        <v>0.41</v>
      </c>
      <c r="AQ118" s="2">
        <v>36</v>
      </c>
      <c r="AR118" s="1">
        <v>0</v>
      </c>
      <c r="AS118" s="1">
        <v>1</v>
      </c>
      <c r="AT118" s="1">
        <v>8</v>
      </c>
      <c r="AU118" s="1">
        <v>17</v>
      </c>
      <c r="BP118" s="2" t="s">
        <v>39</v>
      </c>
      <c r="BQ118" s="2" t="s">
        <v>39</v>
      </c>
    </row>
    <row r="119" spans="42:69" x14ac:dyDescent="0.55000000000000004">
      <c r="AP119" s="1">
        <v>0.42</v>
      </c>
      <c r="AQ119" s="2">
        <v>36</v>
      </c>
      <c r="AR119" s="1">
        <v>0</v>
      </c>
      <c r="AS119" s="1">
        <v>0</v>
      </c>
      <c r="AT119" s="1">
        <v>5</v>
      </c>
      <c r="AU119" s="1">
        <v>4</v>
      </c>
      <c r="BP119" s="2" t="s">
        <v>39</v>
      </c>
      <c r="BQ119" s="2" t="s">
        <v>39</v>
      </c>
    </row>
    <row r="120" spans="42:69" x14ac:dyDescent="0.55000000000000004">
      <c r="AP120" s="1">
        <v>0.42</v>
      </c>
      <c r="AQ120" s="2">
        <v>37</v>
      </c>
      <c r="AR120" s="1">
        <v>0</v>
      </c>
      <c r="AS120" s="1">
        <v>1</v>
      </c>
      <c r="AT120" s="1">
        <v>5</v>
      </c>
      <c r="AU120" s="1">
        <v>7</v>
      </c>
      <c r="BP120" s="2" t="s">
        <v>39</v>
      </c>
      <c r="BQ120" s="2" t="s">
        <v>39</v>
      </c>
    </row>
    <row r="121" spans="42:69" x14ac:dyDescent="0.55000000000000004">
      <c r="AP121" s="1">
        <v>0.42</v>
      </c>
      <c r="AQ121" s="2">
        <v>37</v>
      </c>
      <c r="AR121" s="1">
        <v>0</v>
      </c>
      <c r="AS121" s="1">
        <v>0</v>
      </c>
      <c r="AT121" s="1">
        <v>19</v>
      </c>
      <c r="AU121" s="1">
        <v>4</v>
      </c>
      <c r="BP121" s="2" t="s">
        <v>39</v>
      </c>
      <c r="BQ121" s="2" t="s">
        <v>39</v>
      </c>
    </row>
    <row r="122" spans="42:69" x14ac:dyDescent="0.55000000000000004">
      <c r="AP122" s="1">
        <v>0.42</v>
      </c>
      <c r="AQ122" s="2">
        <v>37</v>
      </c>
      <c r="AR122" s="1">
        <v>0</v>
      </c>
      <c r="AS122" s="1">
        <v>1</v>
      </c>
      <c r="AT122" s="1">
        <v>4</v>
      </c>
      <c r="AU122" s="1">
        <v>4</v>
      </c>
      <c r="BP122" s="2" t="s">
        <v>39</v>
      </c>
      <c r="BQ122" s="2" t="s">
        <v>39</v>
      </c>
    </row>
    <row r="123" spans="42:69" x14ac:dyDescent="0.55000000000000004">
      <c r="AP123" s="1">
        <v>0.42</v>
      </c>
      <c r="AQ123" s="2">
        <v>37</v>
      </c>
      <c r="AR123" s="1">
        <v>0</v>
      </c>
      <c r="AS123" s="1">
        <v>1</v>
      </c>
      <c r="AT123" s="1">
        <v>4</v>
      </c>
      <c r="AU123" s="1">
        <v>12</v>
      </c>
      <c r="BP123" s="2" t="s">
        <v>39</v>
      </c>
      <c r="BQ123" s="2" t="s">
        <v>39</v>
      </c>
    </row>
    <row r="124" spans="42:69" x14ac:dyDescent="0.55000000000000004">
      <c r="AP124" s="1">
        <v>0.42</v>
      </c>
      <c r="AQ124" s="2">
        <v>38</v>
      </c>
      <c r="AR124" s="1">
        <v>0</v>
      </c>
      <c r="AS124" s="1">
        <v>0</v>
      </c>
      <c r="AT124" s="1">
        <v>10</v>
      </c>
      <c r="AU124" s="1">
        <v>18</v>
      </c>
      <c r="BP124" s="2" t="s">
        <v>39</v>
      </c>
      <c r="BQ124" s="2" t="s">
        <v>39</v>
      </c>
    </row>
    <row r="125" spans="42:69" x14ac:dyDescent="0.55000000000000004">
      <c r="AP125" s="1">
        <v>0.44</v>
      </c>
      <c r="AQ125" s="2">
        <v>38</v>
      </c>
      <c r="AR125" s="1">
        <v>1</v>
      </c>
      <c r="AS125" s="1">
        <v>1</v>
      </c>
      <c r="AT125" s="1">
        <v>5</v>
      </c>
      <c r="AU125" s="1">
        <v>10</v>
      </c>
      <c r="BP125" s="2" t="s">
        <v>39</v>
      </c>
      <c r="BQ125" s="2" t="s">
        <v>39</v>
      </c>
    </row>
    <row r="126" spans="42:69" x14ac:dyDescent="0.55000000000000004">
      <c r="AP126" s="1">
        <v>0.44</v>
      </c>
      <c r="AQ126" s="2">
        <v>38</v>
      </c>
      <c r="AR126" s="1">
        <v>0</v>
      </c>
      <c r="AS126" s="1">
        <v>0</v>
      </c>
      <c r="AT126" s="1">
        <v>7</v>
      </c>
      <c r="AU126" s="1">
        <v>4</v>
      </c>
      <c r="BP126" s="2" t="s">
        <v>39</v>
      </c>
      <c r="BQ126" s="2" t="s">
        <v>39</v>
      </c>
    </row>
    <row r="127" spans="42:69" x14ac:dyDescent="0.55000000000000004">
      <c r="AP127" s="1">
        <v>0.44</v>
      </c>
      <c r="AQ127" s="2">
        <v>40</v>
      </c>
      <c r="AR127" s="1">
        <v>0</v>
      </c>
      <c r="AS127" s="1">
        <v>0</v>
      </c>
      <c r="AT127" s="1">
        <v>23</v>
      </c>
      <c r="AU127" s="1">
        <v>1</v>
      </c>
      <c r="BP127" s="2" t="s">
        <v>39</v>
      </c>
      <c r="BQ127" s="2" t="s">
        <v>39</v>
      </c>
    </row>
    <row r="128" spans="42:69" x14ac:dyDescent="0.55000000000000004">
      <c r="AP128" s="1">
        <v>0.44</v>
      </c>
      <c r="AQ128" s="2">
        <v>41</v>
      </c>
      <c r="AR128" s="1">
        <v>0</v>
      </c>
      <c r="AS128" s="1">
        <v>0</v>
      </c>
      <c r="AT128" s="1">
        <v>16</v>
      </c>
      <c r="AU128" s="1">
        <v>2</v>
      </c>
      <c r="BP128" s="2" t="s">
        <v>39</v>
      </c>
      <c r="BQ128" s="2" t="s">
        <v>39</v>
      </c>
    </row>
    <row r="129" spans="42:69" x14ac:dyDescent="0.55000000000000004">
      <c r="AP129" s="1">
        <v>0.44</v>
      </c>
      <c r="AQ129" s="2">
        <v>41</v>
      </c>
      <c r="AR129" s="1">
        <v>0</v>
      </c>
      <c r="AS129" s="1">
        <v>0</v>
      </c>
      <c r="AT129" s="1">
        <v>4</v>
      </c>
      <c r="AU129" s="1">
        <v>14</v>
      </c>
      <c r="BP129" s="2" t="s">
        <v>39</v>
      </c>
      <c r="BQ129" s="2" t="s">
        <v>39</v>
      </c>
    </row>
    <row r="130" spans="42:69" x14ac:dyDescent="0.55000000000000004">
      <c r="AP130" s="1">
        <v>0.44</v>
      </c>
      <c r="AQ130" s="2">
        <v>42</v>
      </c>
      <c r="AR130" s="1">
        <v>0</v>
      </c>
      <c r="AS130" s="1">
        <v>0</v>
      </c>
      <c r="AT130" s="1">
        <v>15</v>
      </c>
      <c r="AU130" s="1">
        <v>43</v>
      </c>
      <c r="BP130" s="2" t="s">
        <v>39</v>
      </c>
      <c r="BQ130" s="2" t="s">
        <v>39</v>
      </c>
    </row>
    <row r="131" spans="42:69" x14ac:dyDescent="0.55000000000000004">
      <c r="AP131" s="1">
        <v>0.44</v>
      </c>
      <c r="AQ131" s="2">
        <v>42</v>
      </c>
      <c r="AR131" s="1">
        <v>0</v>
      </c>
      <c r="AS131" s="1">
        <v>1</v>
      </c>
      <c r="AT131" s="1">
        <v>16</v>
      </c>
      <c r="AU131" s="1">
        <v>6</v>
      </c>
      <c r="BP131" s="2" t="s">
        <v>39</v>
      </c>
      <c r="BQ131" s="2" t="s">
        <v>39</v>
      </c>
    </row>
    <row r="132" spans="42:69" x14ac:dyDescent="0.55000000000000004">
      <c r="AP132" s="1">
        <v>0.44</v>
      </c>
      <c r="AQ132" s="2">
        <v>42</v>
      </c>
      <c r="AR132" s="1">
        <v>0</v>
      </c>
      <c r="AS132" s="1">
        <v>1</v>
      </c>
      <c r="AT132" s="1">
        <v>9</v>
      </c>
      <c r="AU132" s="1">
        <v>11</v>
      </c>
      <c r="BP132" s="2" t="s">
        <v>39</v>
      </c>
      <c r="BQ132" s="2" t="s">
        <v>39</v>
      </c>
    </row>
    <row r="133" spans="42:69" x14ac:dyDescent="0.55000000000000004">
      <c r="AP133" s="1">
        <v>0.44</v>
      </c>
      <c r="AQ133" s="2">
        <v>42</v>
      </c>
      <c r="AR133" s="1">
        <v>0</v>
      </c>
      <c r="AS133" s="1">
        <v>1</v>
      </c>
      <c r="AT133" s="1">
        <v>14</v>
      </c>
      <c r="AU133" s="1">
        <v>9</v>
      </c>
      <c r="BP133" s="2" t="s">
        <v>39</v>
      </c>
      <c r="BQ133" s="2" t="s">
        <v>39</v>
      </c>
    </row>
    <row r="134" spans="42:69" x14ac:dyDescent="0.55000000000000004">
      <c r="AP134" s="1">
        <v>0.45</v>
      </c>
      <c r="AQ134" s="2">
        <v>43</v>
      </c>
      <c r="AR134" s="1">
        <v>1</v>
      </c>
      <c r="AS134" s="1">
        <v>0</v>
      </c>
      <c r="AT134" s="1">
        <v>4</v>
      </c>
      <c r="AU134" s="1">
        <v>17</v>
      </c>
      <c r="BP134" s="2" t="s">
        <v>39</v>
      </c>
      <c r="BQ134" s="2" t="s">
        <v>39</v>
      </c>
    </row>
    <row r="135" spans="42:69" x14ac:dyDescent="0.55000000000000004">
      <c r="AP135" s="1">
        <v>0.45</v>
      </c>
      <c r="AQ135" s="2">
        <v>44</v>
      </c>
      <c r="AR135" s="1">
        <v>0</v>
      </c>
      <c r="AS135" s="1">
        <v>1</v>
      </c>
      <c r="AT135" s="1">
        <v>7</v>
      </c>
      <c r="AU135" s="1">
        <v>6</v>
      </c>
      <c r="BP135" s="2" t="s">
        <v>39</v>
      </c>
      <c r="BQ135" s="2" t="s">
        <v>39</v>
      </c>
    </row>
    <row r="136" spans="42:69" x14ac:dyDescent="0.55000000000000004">
      <c r="AP136" s="1">
        <v>0.45</v>
      </c>
      <c r="AQ136" s="2">
        <v>44</v>
      </c>
      <c r="AR136" s="1">
        <v>0</v>
      </c>
      <c r="AS136" s="1">
        <v>1</v>
      </c>
      <c r="AT136" s="1">
        <v>10</v>
      </c>
      <c r="AU136" s="1">
        <v>8</v>
      </c>
      <c r="BP136" s="2" t="s">
        <v>39</v>
      </c>
      <c r="BQ136" s="2" t="s">
        <v>39</v>
      </c>
    </row>
    <row r="137" spans="42:69" x14ac:dyDescent="0.55000000000000004">
      <c r="AP137" s="1">
        <v>0.45</v>
      </c>
      <c r="AQ137" s="2">
        <v>45</v>
      </c>
      <c r="AR137" s="1">
        <v>0</v>
      </c>
      <c r="AS137" s="1">
        <v>0</v>
      </c>
      <c r="AT137" s="1">
        <v>12</v>
      </c>
      <c r="AU137" s="1">
        <v>17</v>
      </c>
      <c r="BP137" s="2" t="s">
        <v>39</v>
      </c>
      <c r="BQ137" s="2" t="s">
        <v>39</v>
      </c>
    </row>
    <row r="138" spans="42:69" x14ac:dyDescent="0.55000000000000004">
      <c r="AP138" s="1">
        <v>0.45</v>
      </c>
      <c r="AQ138" s="2">
        <v>47</v>
      </c>
      <c r="AR138" s="1">
        <v>0</v>
      </c>
      <c r="AS138" s="1">
        <v>1</v>
      </c>
      <c r="AT138" s="1">
        <v>4</v>
      </c>
      <c r="AU138" s="1">
        <v>3</v>
      </c>
      <c r="BP138" s="2" t="s">
        <v>39</v>
      </c>
      <c r="BQ138" s="2" t="s">
        <v>39</v>
      </c>
    </row>
    <row r="139" spans="42:69" x14ac:dyDescent="0.55000000000000004">
      <c r="AP139" s="1">
        <v>0.45</v>
      </c>
      <c r="AQ139" s="2">
        <v>48</v>
      </c>
      <c r="AR139" s="1">
        <v>0</v>
      </c>
      <c r="AS139" s="1">
        <v>0</v>
      </c>
      <c r="AT139" s="1">
        <v>21</v>
      </c>
      <c r="AU139" s="1">
        <v>11</v>
      </c>
      <c r="BP139" s="2" t="s">
        <v>39</v>
      </c>
      <c r="BQ139" s="2" t="s">
        <v>39</v>
      </c>
    </row>
    <row r="140" spans="42:69" x14ac:dyDescent="0.55000000000000004">
      <c r="AP140" s="1">
        <v>0.46</v>
      </c>
      <c r="AQ140" s="2">
        <v>48</v>
      </c>
      <c r="AR140" s="1">
        <v>0</v>
      </c>
      <c r="AS140" s="1">
        <v>0</v>
      </c>
      <c r="AT140" s="1">
        <v>9</v>
      </c>
      <c r="AU140" s="1">
        <v>10</v>
      </c>
      <c r="BP140" s="2" t="s">
        <v>39</v>
      </c>
      <c r="BQ140" s="2" t="s">
        <v>39</v>
      </c>
    </row>
    <row r="141" spans="42:69" x14ac:dyDescent="0.55000000000000004">
      <c r="AP141" s="1">
        <v>0.46</v>
      </c>
      <c r="AQ141" s="2">
        <v>53</v>
      </c>
      <c r="AR141" s="1">
        <v>0</v>
      </c>
      <c r="AS141" s="1">
        <v>1</v>
      </c>
      <c r="AT141" s="1">
        <v>6</v>
      </c>
      <c r="AU141" s="1">
        <v>9</v>
      </c>
      <c r="BP141" s="2" t="s">
        <v>39</v>
      </c>
      <c r="BQ141" s="2" t="s">
        <v>39</v>
      </c>
    </row>
    <row r="142" spans="42:69" x14ac:dyDescent="0.55000000000000004">
      <c r="AP142" s="1">
        <v>0.46</v>
      </c>
      <c r="AQ142" s="2">
        <v>60</v>
      </c>
      <c r="AR142" s="1">
        <v>1</v>
      </c>
      <c r="AS142" s="1">
        <v>0</v>
      </c>
      <c r="AT142" s="1">
        <v>15</v>
      </c>
      <c r="AU142" s="1">
        <v>15</v>
      </c>
      <c r="BP142" s="2" t="s">
        <v>39</v>
      </c>
      <c r="BQ142" s="2" t="s">
        <v>39</v>
      </c>
    </row>
    <row r="143" spans="42:69" x14ac:dyDescent="0.55000000000000004">
      <c r="AP143" s="1">
        <v>0.46</v>
      </c>
      <c r="AQ143" s="2">
        <v>61</v>
      </c>
      <c r="AR143" s="1">
        <v>0</v>
      </c>
      <c r="AS143" s="1">
        <v>0</v>
      </c>
      <c r="AT143" s="1">
        <v>10</v>
      </c>
      <c r="AU143" s="1">
        <v>11</v>
      </c>
      <c r="BP143" s="2" t="s">
        <v>39</v>
      </c>
      <c r="BQ143" s="2" t="s">
        <v>39</v>
      </c>
    </row>
    <row r="144" spans="42:69" x14ac:dyDescent="0.55000000000000004">
      <c r="AP144" s="1">
        <v>0.46</v>
      </c>
      <c r="AQ144" s="2">
        <v>65</v>
      </c>
      <c r="AR144" s="1">
        <v>0</v>
      </c>
      <c r="AS144" s="1">
        <v>1</v>
      </c>
      <c r="AT144" s="1">
        <v>5</v>
      </c>
      <c r="AU144" s="1">
        <v>3</v>
      </c>
      <c r="BP144" s="2" t="s">
        <v>39</v>
      </c>
      <c r="BQ144" s="2" t="s">
        <v>39</v>
      </c>
    </row>
    <row r="145" spans="42:69" x14ac:dyDescent="0.55000000000000004">
      <c r="AP145" s="1">
        <v>0.46</v>
      </c>
      <c r="AQ145" s="2">
        <v>70</v>
      </c>
      <c r="AR145" s="1">
        <v>0</v>
      </c>
      <c r="AS145" s="1">
        <v>1</v>
      </c>
      <c r="AT145" s="1">
        <v>7</v>
      </c>
      <c r="AU145" s="1">
        <v>12</v>
      </c>
      <c r="BP145" s="2" t="s">
        <v>39</v>
      </c>
      <c r="BQ145" s="2" t="s">
        <v>39</v>
      </c>
    </row>
    <row r="146" spans="42:69" x14ac:dyDescent="0.55000000000000004">
      <c r="AP146" s="1">
        <v>0.46</v>
      </c>
      <c r="BP146" s="2" t="s">
        <v>39</v>
      </c>
      <c r="BQ146" s="2" t="s">
        <v>39</v>
      </c>
    </row>
    <row r="147" spans="42:69" x14ac:dyDescent="0.55000000000000004">
      <c r="AP147" s="1">
        <v>0.46</v>
      </c>
      <c r="BP147" s="2" t="s">
        <v>39</v>
      </c>
      <c r="BQ147" s="2" t="s">
        <v>39</v>
      </c>
    </row>
    <row r="148" spans="42:69" x14ac:dyDescent="0.55000000000000004">
      <c r="AP148" s="1">
        <v>0.47</v>
      </c>
      <c r="BP148" s="2" t="s">
        <v>39</v>
      </c>
      <c r="BQ148" s="2" t="s">
        <v>39</v>
      </c>
    </row>
    <row r="149" spans="42:69" x14ac:dyDescent="0.55000000000000004">
      <c r="AP149" s="1">
        <v>0.47</v>
      </c>
      <c r="BP149" s="2" t="s">
        <v>39</v>
      </c>
      <c r="BQ149" s="2" t="s">
        <v>39</v>
      </c>
    </row>
    <row r="150" spans="42:69" x14ac:dyDescent="0.55000000000000004">
      <c r="AP150" s="1">
        <v>0.47</v>
      </c>
      <c r="BP150" s="2" t="s">
        <v>39</v>
      </c>
      <c r="BQ150" s="2" t="s">
        <v>39</v>
      </c>
    </row>
    <row r="151" spans="42:69" x14ac:dyDescent="0.55000000000000004">
      <c r="AP151" s="1">
        <v>0.47</v>
      </c>
      <c r="BP151" s="2" t="s">
        <v>39</v>
      </c>
      <c r="BQ151" s="2" t="s">
        <v>39</v>
      </c>
    </row>
    <row r="152" spans="42:69" x14ac:dyDescent="0.55000000000000004">
      <c r="AP152" s="1">
        <v>0.47</v>
      </c>
      <c r="BP152" s="2" t="s">
        <v>39</v>
      </c>
      <c r="BQ152" s="2" t="s">
        <v>39</v>
      </c>
    </row>
    <row r="153" spans="42:69" x14ac:dyDescent="0.55000000000000004">
      <c r="AP153" s="1">
        <v>0.48</v>
      </c>
      <c r="BP153" s="2" t="s">
        <v>39</v>
      </c>
      <c r="BQ153" s="2" t="s">
        <v>39</v>
      </c>
    </row>
    <row r="154" spans="42:69" x14ac:dyDescent="0.55000000000000004">
      <c r="AP154" s="1">
        <v>0.48</v>
      </c>
      <c r="BP154" s="2" t="s">
        <v>39</v>
      </c>
      <c r="BQ154" s="2" t="s">
        <v>39</v>
      </c>
    </row>
    <row r="155" spans="42:69" x14ac:dyDescent="0.55000000000000004">
      <c r="AP155" s="1">
        <v>0.48</v>
      </c>
      <c r="BP155" s="2" t="s">
        <v>39</v>
      </c>
      <c r="BQ155" s="2" t="s">
        <v>39</v>
      </c>
    </row>
    <row r="156" spans="42:69" x14ac:dyDescent="0.55000000000000004">
      <c r="AP156" s="1">
        <v>0.48</v>
      </c>
      <c r="BP156" s="2" t="s">
        <v>39</v>
      </c>
      <c r="BQ156" s="2" t="s">
        <v>39</v>
      </c>
    </row>
    <row r="157" spans="42:69" x14ac:dyDescent="0.55000000000000004">
      <c r="AP157" s="1">
        <v>0.48</v>
      </c>
      <c r="BP157" s="2" t="s">
        <v>39</v>
      </c>
      <c r="BQ157" s="2" t="s">
        <v>39</v>
      </c>
    </row>
    <row r="158" spans="42:69" x14ac:dyDescent="0.55000000000000004">
      <c r="AP158" s="1">
        <v>0.48</v>
      </c>
      <c r="BP158" s="2" t="s">
        <v>39</v>
      </c>
      <c r="BQ158" s="2" t="s">
        <v>39</v>
      </c>
    </row>
    <row r="159" spans="42:69" x14ac:dyDescent="0.55000000000000004">
      <c r="AP159" s="1">
        <v>0.48</v>
      </c>
      <c r="BP159" s="2" t="s">
        <v>39</v>
      </c>
      <c r="BQ159" s="2" t="s">
        <v>39</v>
      </c>
    </row>
    <row r="160" spans="42:69" x14ac:dyDescent="0.55000000000000004">
      <c r="AP160" s="1">
        <v>0.48</v>
      </c>
      <c r="BP160" s="2" t="s">
        <v>39</v>
      </c>
      <c r="BQ160" s="2" t="s">
        <v>39</v>
      </c>
    </row>
    <row r="161" spans="42:69" x14ac:dyDescent="0.55000000000000004">
      <c r="AP161" s="1">
        <v>0.48</v>
      </c>
      <c r="BP161" s="2" t="s">
        <v>39</v>
      </c>
      <c r="BQ161" s="2" t="s">
        <v>39</v>
      </c>
    </row>
    <row r="162" spans="42:69" x14ac:dyDescent="0.55000000000000004">
      <c r="AP162" s="1">
        <v>0.48</v>
      </c>
      <c r="BP162" s="2" t="s">
        <v>39</v>
      </c>
      <c r="BQ162" s="2" t="s">
        <v>39</v>
      </c>
    </row>
    <row r="163" spans="42:69" x14ac:dyDescent="0.55000000000000004">
      <c r="AP163" s="1">
        <v>0.48</v>
      </c>
      <c r="BP163" s="2" t="s">
        <v>39</v>
      </c>
      <c r="BQ163" s="2" t="s">
        <v>39</v>
      </c>
    </row>
    <row r="164" spans="42:69" x14ac:dyDescent="0.55000000000000004">
      <c r="AP164" s="1">
        <v>0.48</v>
      </c>
      <c r="BP164" s="2" t="s">
        <v>39</v>
      </c>
      <c r="BQ164" s="2" t="s">
        <v>39</v>
      </c>
    </row>
    <row r="165" spans="42:69" x14ac:dyDescent="0.55000000000000004">
      <c r="AP165" s="1">
        <v>0.49</v>
      </c>
      <c r="BP165" s="2" t="s">
        <v>39</v>
      </c>
      <c r="BQ165" s="2" t="s">
        <v>39</v>
      </c>
    </row>
    <row r="166" spans="42:69" x14ac:dyDescent="0.55000000000000004">
      <c r="AP166" s="1">
        <v>0.49</v>
      </c>
      <c r="BP166" s="2" t="s">
        <v>39</v>
      </c>
      <c r="BQ166" s="2" t="s">
        <v>39</v>
      </c>
    </row>
    <row r="167" spans="42:69" x14ac:dyDescent="0.55000000000000004">
      <c r="AP167" s="1">
        <v>0.49</v>
      </c>
      <c r="BP167" s="2" t="s">
        <v>39</v>
      </c>
      <c r="BQ167" s="2" t="s">
        <v>39</v>
      </c>
    </row>
    <row r="168" spans="42:69" x14ac:dyDescent="0.55000000000000004">
      <c r="AP168" s="1">
        <v>0.5</v>
      </c>
      <c r="BP168" s="2" t="s">
        <v>39</v>
      </c>
      <c r="BQ168" s="2" t="s">
        <v>39</v>
      </c>
    </row>
    <row r="169" spans="42:69" x14ac:dyDescent="0.55000000000000004">
      <c r="AP169" s="1">
        <v>0.5</v>
      </c>
      <c r="BP169" s="2" t="s">
        <v>39</v>
      </c>
      <c r="BQ169" s="2" t="s">
        <v>39</v>
      </c>
    </row>
    <row r="170" spans="42:69" x14ac:dyDescent="0.55000000000000004">
      <c r="AP170" s="1">
        <v>0.5</v>
      </c>
      <c r="BP170" s="2" t="s">
        <v>39</v>
      </c>
      <c r="BQ170" s="2" t="s">
        <v>39</v>
      </c>
    </row>
    <row r="171" spans="42:69" x14ac:dyDescent="0.55000000000000004">
      <c r="AP171" s="1">
        <v>0.5</v>
      </c>
      <c r="BP171" s="2" t="s">
        <v>39</v>
      </c>
      <c r="BQ171" s="2" t="s">
        <v>39</v>
      </c>
    </row>
    <row r="172" spans="42:69" x14ac:dyDescent="0.55000000000000004">
      <c r="AP172" s="1">
        <v>0.52</v>
      </c>
      <c r="BP172" s="2" t="s">
        <v>39</v>
      </c>
      <c r="BQ172" s="2" t="s">
        <v>39</v>
      </c>
    </row>
    <row r="173" spans="42:69" x14ac:dyDescent="0.55000000000000004">
      <c r="AP173" s="1">
        <v>0.52</v>
      </c>
      <c r="BP173" s="2" t="s">
        <v>39</v>
      </c>
      <c r="BQ173" s="2" t="s">
        <v>39</v>
      </c>
    </row>
    <row r="174" spans="42:69" x14ac:dyDescent="0.55000000000000004">
      <c r="AP174" s="1">
        <v>0.52</v>
      </c>
      <c r="BP174" s="2" t="s">
        <v>39</v>
      </c>
      <c r="BQ174" s="2" t="s">
        <v>39</v>
      </c>
    </row>
    <row r="175" spans="42:69" x14ac:dyDescent="0.55000000000000004">
      <c r="AP175" s="1">
        <v>0.52</v>
      </c>
      <c r="BP175" s="2" t="s">
        <v>39</v>
      </c>
      <c r="BQ175" s="2" t="s">
        <v>39</v>
      </c>
    </row>
    <row r="176" spans="42:69" x14ac:dyDescent="0.55000000000000004">
      <c r="AP176" s="1">
        <v>0.52</v>
      </c>
      <c r="BP176" s="2" t="s">
        <v>39</v>
      </c>
      <c r="BQ176" s="2" t="s">
        <v>39</v>
      </c>
    </row>
    <row r="177" spans="42:69" x14ac:dyDescent="0.55000000000000004">
      <c r="AP177" s="1">
        <v>0.52</v>
      </c>
      <c r="BP177" s="2" t="s">
        <v>39</v>
      </c>
      <c r="BQ177" s="2" t="s">
        <v>39</v>
      </c>
    </row>
    <row r="178" spans="42:69" x14ac:dyDescent="0.55000000000000004">
      <c r="AP178" s="1">
        <v>0.52</v>
      </c>
      <c r="BP178" s="2" t="s">
        <v>39</v>
      </c>
      <c r="BQ178" s="2" t="s">
        <v>39</v>
      </c>
    </row>
    <row r="179" spans="42:69" x14ac:dyDescent="0.55000000000000004">
      <c r="AP179" s="1">
        <v>0.53</v>
      </c>
      <c r="BP179" s="2" t="s">
        <v>39</v>
      </c>
      <c r="BQ179" s="2" t="s">
        <v>39</v>
      </c>
    </row>
    <row r="180" spans="42:69" x14ac:dyDescent="0.55000000000000004">
      <c r="AP180" s="1">
        <v>0.54</v>
      </c>
      <c r="BP180" s="2" t="s">
        <v>39</v>
      </c>
      <c r="BQ180" s="2" t="s">
        <v>39</v>
      </c>
    </row>
    <row r="181" spans="42:69" x14ac:dyDescent="0.55000000000000004">
      <c r="AP181" s="1">
        <v>0.54</v>
      </c>
      <c r="BP181" s="2" t="s">
        <v>39</v>
      </c>
      <c r="BQ181" s="2" t="s">
        <v>39</v>
      </c>
    </row>
    <row r="182" spans="42:69" x14ac:dyDescent="0.55000000000000004">
      <c r="AP182" s="1">
        <v>0.54</v>
      </c>
      <c r="BP182" s="2" t="s">
        <v>39</v>
      </c>
      <c r="BQ182" s="2" t="s">
        <v>39</v>
      </c>
    </row>
    <row r="183" spans="42:69" x14ac:dyDescent="0.55000000000000004">
      <c r="AP183" s="1">
        <v>0.54</v>
      </c>
      <c r="BP183" s="2" t="s">
        <v>39</v>
      </c>
      <c r="BQ183" s="2" t="s">
        <v>39</v>
      </c>
    </row>
    <row r="184" spans="42:69" x14ac:dyDescent="0.55000000000000004">
      <c r="AP184" s="1">
        <v>0.54</v>
      </c>
      <c r="BP184" s="2" t="s">
        <v>39</v>
      </c>
      <c r="BQ184" s="2" t="s">
        <v>39</v>
      </c>
    </row>
    <row r="185" spans="42:69" x14ac:dyDescent="0.55000000000000004">
      <c r="AP185" s="1">
        <v>0.54</v>
      </c>
      <c r="BP185" s="2" t="s">
        <v>39</v>
      </c>
      <c r="BQ185" s="2" t="s">
        <v>39</v>
      </c>
    </row>
    <row r="186" spans="42:69" x14ac:dyDescent="0.55000000000000004">
      <c r="AP186" s="1">
        <v>0.55000000000000004</v>
      </c>
      <c r="BP186" s="2" t="s">
        <v>39</v>
      </c>
      <c r="BQ186" s="2" t="s">
        <v>39</v>
      </c>
    </row>
    <row r="187" spans="42:69" x14ac:dyDescent="0.55000000000000004">
      <c r="AP187" s="1">
        <v>0.55000000000000004</v>
      </c>
      <c r="BP187" s="2" t="s">
        <v>39</v>
      </c>
      <c r="BQ187" s="2" t="s">
        <v>39</v>
      </c>
    </row>
    <row r="188" spans="42:69" x14ac:dyDescent="0.55000000000000004">
      <c r="AP188" s="1">
        <v>0.55000000000000004</v>
      </c>
      <c r="BP188" s="2" t="s">
        <v>39</v>
      </c>
      <c r="BQ188" s="2" t="s">
        <v>39</v>
      </c>
    </row>
    <row r="189" spans="42:69" x14ac:dyDescent="0.55000000000000004">
      <c r="AP189" s="1">
        <v>0.55000000000000004</v>
      </c>
      <c r="BP189" s="2" t="s">
        <v>39</v>
      </c>
      <c r="BQ189" s="2" t="s">
        <v>39</v>
      </c>
    </row>
    <row r="190" spans="42:69" x14ac:dyDescent="0.55000000000000004">
      <c r="AP190" s="1">
        <v>0.55000000000000004</v>
      </c>
      <c r="BP190" s="2" t="s">
        <v>39</v>
      </c>
      <c r="BQ190" s="2" t="s">
        <v>39</v>
      </c>
    </row>
    <row r="191" spans="42:69" x14ac:dyDescent="0.55000000000000004">
      <c r="AP191" s="1">
        <v>0.55000000000000004</v>
      </c>
      <c r="BP191" s="2" t="s">
        <v>39</v>
      </c>
      <c r="BQ191" s="2" t="s">
        <v>39</v>
      </c>
    </row>
    <row r="192" spans="42:69" x14ac:dyDescent="0.55000000000000004">
      <c r="AP192" s="1">
        <v>0.55000000000000004</v>
      </c>
      <c r="BP192" s="2" t="s">
        <v>39</v>
      </c>
      <c r="BQ192" s="2" t="s">
        <v>39</v>
      </c>
    </row>
    <row r="193" spans="42:69" x14ac:dyDescent="0.55000000000000004">
      <c r="AP193" s="1">
        <v>0.55000000000000004</v>
      </c>
      <c r="BP193" s="2" t="s">
        <v>39</v>
      </c>
      <c r="BQ193" s="2" t="s">
        <v>39</v>
      </c>
    </row>
    <row r="194" spans="42:69" x14ac:dyDescent="0.55000000000000004">
      <c r="AP194" s="1">
        <v>0.56000000000000005</v>
      </c>
      <c r="BP194" s="2" t="s">
        <v>39</v>
      </c>
      <c r="BQ194" s="2" t="s">
        <v>39</v>
      </c>
    </row>
    <row r="195" spans="42:69" x14ac:dyDescent="0.55000000000000004">
      <c r="AP195" s="1">
        <v>0.56000000000000005</v>
      </c>
      <c r="BP195" s="2" t="s">
        <v>39</v>
      </c>
      <c r="BQ195" s="2" t="s">
        <v>39</v>
      </c>
    </row>
    <row r="196" spans="42:69" x14ac:dyDescent="0.55000000000000004">
      <c r="AP196" s="1">
        <v>0.56000000000000005</v>
      </c>
      <c r="BP196" s="2" t="s">
        <v>39</v>
      </c>
      <c r="BQ196" s="2" t="s">
        <v>39</v>
      </c>
    </row>
    <row r="197" spans="42:69" x14ac:dyDescent="0.55000000000000004">
      <c r="AP197" s="1">
        <v>0.56000000000000005</v>
      </c>
      <c r="BP197" s="2" t="s">
        <v>39</v>
      </c>
      <c r="BQ197" s="2" t="s">
        <v>39</v>
      </c>
    </row>
    <row r="198" spans="42:69" x14ac:dyDescent="0.55000000000000004">
      <c r="AP198" s="1">
        <v>0.56000000000000005</v>
      </c>
      <c r="BP198" s="2" t="s">
        <v>39</v>
      </c>
      <c r="BQ198" s="2" t="s">
        <v>39</v>
      </c>
    </row>
    <row r="199" spans="42:69" x14ac:dyDescent="0.55000000000000004">
      <c r="AP199" s="1">
        <v>0.56000000000000005</v>
      </c>
      <c r="BP199" s="2" t="s">
        <v>39</v>
      </c>
      <c r="BQ199" s="2" t="s">
        <v>39</v>
      </c>
    </row>
    <row r="200" spans="42:69" x14ac:dyDescent="0.55000000000000004">
      <c r="AP200" s="1">
        <v>0.56000000000000005</v>
      </c>
      <c r="BP200" s="2" t="s">
        <v>39</v>
      </c>
      <c r="BQ200" s="2" t="s">
        <v>39</v>
      </c>
    </row>
    <row r="201" spans="42:69" x14ac:dyDescent="0.55000000000000004">
      <c r="AP201" s="1">
        <v>0.56000000000000005</v>
      </c>
      <c r="BP201" s="2" t="s">
        <v>39</v>
      </c>
      <c r="BQ201" s="2" t="s">
        <v>39</v>
      </c>
    </row>
    <row r="202" spans="42:69" x14ac:dyDescent="0.55000000000000004">
      <c r="AP202" s="1">
        <v>0.56000000000000005</v>
      </c>
      <c r="BP202" s="2" t="s">
        <v>39</v>
      </c>
      <c r="BQ202" s="2" t="s">
        <v>39</v>
      </c>
    </row>
    <row r="203" spans="42:69" x14ac:dyDescent="0.55000000000000004">
      <c r="AP203" s="1">
        <v>0.56999999999999995</v>
      </c>
      <c r="BP203" s="2" t="s">
        <v>39</v>
      </c>
      <c r="BQ203" s="2" t="s">
        <v>39</v>
      </c>
    </row>
    <row r="204" spans="42:69" x14ac:dyDescent="0.55000000000000004">
      <c r="AP204" s="1">
        <v>0.56999999999999995</v>
      </c>
      <c r="BP204" s="2" t="s">
        <v>39</v>
      </c>
      <c r="BQ204" s="2" t="s">
        <v>39</v>
      </c>
    </row>
    <row r="205" spans="42:69" x14ac:dyDescent="0.55000000000000004">
      <c r="AP205" s="1">
        <v>0.57999999999999996</v>
      </c>
      <c r="BP205" s="2" t="s">
        <v>39</v>
      </c>
      <c r="BQ205" s="2" t="s">
        <v>39</v>
      </c>
    </row>
    <row r="206" spans="42:69" x14ac:dyDescent="0.55000000000000004">
      <c r="AP206" s="1">
        <v>0.57999999999999996</v>
      </c>
      <c r="BP206" s="2" t="s">
        <v>39</v>
      </c>
      <c r="BQ206" s="2" t="s">
        <v>39</v>
      </c>
    </row>
    <row r="207" spans="42:69" x14ac:dyDescent="0.55000000000000004">
      <c r="AP207" s="1">
        <v>0.57999999999999996</v>
      </c>
      <c r="BP207" s="2" t="s">
        <v>39</v>
      </c>
      <c r="BQ207" s="2" t="s">
        <v>39</v>
      </c>
    </row>
    <row r="208" spans="42:69" x14ac:dyDescent="0.55000000000000004">
      <c r="AP208" s="1">
        <v>0.57999999999999996</v>
      </c>
      <c r="BP208" s="2" t="s">
        <v>39</v>
      </c>
      <c r="BQ208" s="2" t="s">
        <v>39</v>
      </c>
    </row>
    <row r="209" spans="42:69" x14ac:dyDescent="0.55000000000000004">
      <c r="AP209" s="1">
        <v>0.59</v>
      </c>
      <c r="BP209" s="2" t="s">
        <v>39</v>
      </c>
      <c r="BQ209" s="2" t="s">
        <v>39</v>
      </c>
    </row>
    <row r="210" spans="42:69" x14ac:dyDescent="0.55000000000000004">
      <c r="AP210" s="1">
        <v>0.59</v>
      </c>
      <c r="BP210" s="2" t="s">
        <v>39</v>
      </c>
      <c r="BQ210" s="2" t="s">
        <v>39</v>
      </c>
    </row>
    <row r="211" spans="42:69" x14ac:dyDescent="0.55000000000000004">
      <c r="AP211" s="1">
        <v>0.59</v>
      </c>
      <c r="BP211" s="2" t="s">
        <v>39</v>
      </c>
      <c r="BQ211" s="2" t="s">
        <v>39</v>
      </c>
    </row>
    <row r="212" spans="42:69" x14ac:dyDescent="0.55000000000000004">
      <c r="AP212" s="1">
        <v>0.59</v>
      </c>
      <c r="BP212" s="2" t="s">
        <v>39</v>
      </c>
      <c r="BQ212" s="2" t="s">
        <v>39</v>
      </c>
    </row>
    <row r="213" spans="42:69" x14ac:dyDescent="0.55000000000000004">
      <c r="AP213" s="1">
        <v>0.6</v>
      </c>
      <c r="BP213" s="2" t="s">
        <v>39</v>
      </c>
      <c r="BQ213" s="2" t="s">
        <v>39</v>
      </c>
    </row>
    <row r="214" spans="42:69" x14ac:dyDescent="0.55000000000000004">
      <c r="AP214" s="1">
        <v>0.6</v>
      </c>
      <c r="BP214" s="2" t="s">
        <v>39</v>
      </c>
      <c r="BQ214" s="2" t="s">
        <v>39</v>
      </c>
    </row>
    <row r="215" spans="42:69" x14ac:dyDescent="0.55000000000000004">
      <c r="AP215" s="1">
        <v>0.6</v>
      </c>
      <c r="BP215" s="2" t="s">
        <v>39</v>
      </c>
      <c r="BQ215" s="2" t="s">
        <v>39</v>
      </c>
    </row>
    <row r="216" spans="42:69" x14ac:dyDescent="0.55000000000000004">
      <c r="AP216" s="1">
        <v>0.6</v>
      </c>
      <c r="BP216" s="2" t="s">
        <v>39</v>
      </c>
      <c r="BQ216" s="2" t="s">
        <v>39</v>
      </c>
    </row>
    <row r="217" spans="42:69" x14ac:dyDescent="0.55000000000000004">
      <c r="AP217" s="1">
        <v>0.6</v>
      </c>
      <c r="BP217" s="2" t="s">
        <v>39</v>
      </c>
      <c r="BQ217" s="2" t="s">
        <v>39</v>
      </c>
    </row>
    <row r="218" spans="42:69" x14ac:dyDescent="0.55000000000000004">
      <c r="AP218" s="1">
        <v>0.6</v>
      </c>
      <c r="BP218" s="2" t="s">
        <v>39</v>
      </c>
      <c r="BQ218" s="2" t="s">
        <v>39</v>
      </c>
    </row>
    <row r="219" spans="42:69" x14ac:dyDescent="0.55000000000000004">
      <c r="AP219" s="1">
        <v>0.6</v>
      </c>
      <c r="BP219" s="2" t="s">
        <v>39</v>
      </c>
      <c r="BQ219" s="2" t="s">
        <v>39</v>
      </c>
    </row>
    <row r="220" spans="42:69" x14ac:dyDescent="0.55000000000000004">
      <c r="AP220" s="1">
        <v>0.6</v>
      </c>
      <c r="BP220" s="2" t="s">
        <v>39</v>
      </c>
      <c r="BQ220" s="2" t="s">
        <v>39</v>
      </c>
    </row>
    <row r="221" spans="42:69" x14ac:dyDescent="0.55000000000000004">
      <c r="AP221" s="1">
        <v>0.61</v>
      </c>
      <c r="BP221" s="2" t="s">
        <v>39</v>
      </c>
      <c r="BQ221" s="2" t="s">
        <v>39</v>
      </c>
    </row>
    <row r="222" spans="42:69" x14ac:dyDescent="0.55000000000000004">
      <c r="AP222" s="1">
        <v>0.62</v>
      </c>
      <c r="BP222" s="2" t="s">
        <v>39</v>
      </c>
      <c r="BQ222" s="2" t="s">
        <v>39</v>
      </c>
    </row>
    <row r="223" spans="42:69" x14ac:dyDescent="0.55000000000000004">
      <c r="AP223" s="1">
        <v>0.62</v>
      </c>
      <c r="BP223" s="2" t="s">
        <v>39</v>
      </c>
      <c r="BQ223" s="2" t="s">
        <v>39</v>
      </c>
    </row>
    <row r="224" spans="42:69" x14ac:dyDescent="0.55000000000000004">
      <c r="AP224" s="1">
        <v>0.63</v>
      </c>
      <c r="BP224" s="2" t="s">
        <v>39</v>
      </c>
      <c r="BQ224" s="2" t="s">
        <v>39</v>
      </c>
    </row>
    <row r="225" spans="42:69" x14ac:dyDescent="0.55000000000000004">
      <c r="AP225" s="1">
        <v>0.64</v>
      </c>
      <c r="BP225" s="2" t="s">
        <v>39</v>
      </c>
      <c r="BQ225" s="2" t="s">
        <v>39</v>
      </c>
    </row>
    <row r="226" spans="42:69" x14ac:dyDescent="0.55000000000000004">
      <c r="AP226" s="1">
        <v>0.64</v>
      </c>
      <c r="BP226" s="2" t="s">
        <v>39</v>
      </c>
      <c r="BQ226" s="2" t="s">
        <v>39</v>
      </c>
    </row>
    <row r="227" spans="42:69" x14ac:dyDescent="0.55000000000000004">
      <c r="AP227" s="1">
        <v>0.64</v>
      </c>
      <c r="BP227" s="2" t="s">
        <v>39</v>
      </c>
      <c r="BQ227" s="2" t="s">
        <v>39</v>
      </c>
    </row>
    <row r="228" spans="42:69" x14ac:dyDescent="0.55000000000000004">
      <c r="AP228" s="1">
        <v>0.64</v>
      </c>
      <c r="BP228" s="2" t="s">
        <v>39</v>
      </c>
      <c r="BQ228" s="2" t="s">
        <v>39</v>
      </c>
    </row>
    <row r="229" spans="42:69" x14ac:dyDescent="0.55000000000000004">
      <c r="AP229" s="1">
        <v>0.64</v>
      </c>
      <c r="BP229" s="2" t="s">
        <v>39</v>
      </c>
      <c r="BQ229" s="2" t="s">
        <v>39</v>
      </c>
    </row>
    <row r="230" spans="42:69" x14ac:dyDescent="0.55000000000000004">
      <c r="AP230" s="1">
        <v>0.65</v>
      </c>
      <c r="BP230" s="2" t="s">
        <v>39</v>
      </c>
      <c r="BQ230" s="2" t="s">
        <v>39</v>
      </c>
    </row>
    <row r="231" spans="42:69" x14ac:dyDescent="0.55000000000000004">
      <c r="AP231" s="1">
        <v>0.66</v>
      </c>
      <c r="BP231" s="2" t="s">
        <v>39</v>
      </c>
      <c r="BQ231" s="2" t="s">
        <v>39</v>
      </c>
    </row>
    <row r="232" spans="42:69" x14ac:dyDescent="0.55000000000000004">
      <c r="AP232" s="1">
        <v>0.66</v>
      </c>
      <c r="BP232" s="2" t="s">
        <v>39</v>
      </c>
      <c r="BQ232" s="2" t="s">
        <v>39</v>
      </c>
    </row>
    <row r="233" spans="42:69" x14ac:dyDescent="0.55000000000000004">
      <c r="AP233" s="1">
        <v>0.66</v>
      </c>
      <c r="BP233" s="2" t="s">
        <v>39</v>
      </c>
      <c r="BQ233" s="2" t="s">
        <v>39</v>
      </c>
    </row>
    <row r="234" spans="42:69" x14ac:dyDescent="0.55000000000000004">
      <c r="AP234" s="1">
        <v>0.66</v>
      </c>
      <c r="BP234" s="2" t="s">
        <v>39</v>
      </c>
      <c r="BQ234" s="2" t="s">
        <v>39</v>
      </c>
    </row>
    <row r="235" spans="42:69" x14ac:dyDescent="0.55000000000000004">
      <c r="AP235" s="1">
        <v>0.66</v>
      </c>
      <c r="BP235" s="2" t="s">
        <v>39</v>
      </c>
      <c r="BQ235" s="2" t="s">
        <v>39</v>
      </c>
    </row>
    <row r="236" spans="42:69" x14ac:dyDescent="0.55000000000000004">
      <c r="AP236" s="1">
        <v>0.67</v>
      </c>
      <c r="BP236" s="2" t="s">
        <v>39</v>
      </c>
      <c r="BQ236" s="2" t="s">
        <v>39</v>
      </c>
    </row>
    <row r="237" spans="42:69" x14ac:dyDescent="0.55000000000000004">
      <c r="AP237" s="1">
        <v>0.67</v>
      </c>
      <c r="BP237" s="2" t="s">
        <v>39</v>
      </c>
      <c r="BQ237" s="2" t="s">
        <v>39</v>
      </c>
    </row>
    <row r="238" spans="42:69" x14ac:dyDescent="0.55000000000000004">
      <c r="AP238" s="1">
        <v>0.68</v>
      </c>
      <c r="BP238" s="2" t="s">
        <v>39</v>
      </c>
      <c r="BQ238" s="2" t="s">
        <v>39</v>
      </c>
    </row>
    <row r="239" spans="42:69" x14ac:dyDescent="0.55000000000000004">
      <c r="AP239" s="1">
        <v>0.7</v>
      </c>
      <c r="BP239" s="2" t="s">
        <v>39</v>
      </c>
      <c r="BQ239" s="2" t="s">
        <v>39</v>
      </c>
    </row>
    <row r="240" spans="42:69" x14ac:dyDescent="0.55000000000000004">
      <c r="AP240" s="1">
        <v>0.7</v>
      </c>
      <c r="BP240" s="2" t="s">
        <v>39</v>
      </c>
      <c r="BQ240" s="2" t="s">
        <v>39</v>
      </c>
    </row>
    <row r="241" spans="42:69" x14ac:dyDescent="0.55000000000000004">
      <c r="AP241" s="1">
        <v>0.7</v>
      </c>
      <c r="BP241" s="2" t="s">
        <v>39</v>
      </c>
      <c r="BQ241" s="2" t="s">
        <v>39</v>
      </c>
    </row>
    <row r="242" spans="42:69" x14ac:dyDescent="0.55000000000000004">
      <c r="AP242" s="1">
        <v>0.7</v>
      </c>
      <c r="BP242" s="2" t="s">
        <v>39</v>
      </c>
      <c r="BQ242" s="2" t="s">
        <v>39</v>
      </c>
    </row>
    <row r="243" spans="42:69" x14ac:dyDescent="0.55000000000000004">
      <c r="AP243" s="1">
        <v>0.72</v>
      </c>
      <c r="BP243" s="2" t="s">
        <v>39</v>
      </c>
      <c r="BQ243" s="2" t="s">
        <v>39</v>
      </c>
    </row>
    <row r="244" spans="42:69" x14ac:dyDescent="0.55000000000000004">
      <c r="AP244" s="1">
        <v>0.72</v>
      </c>
      <c r="BP244" s="2" t="s">
        <v>39</v>
      </c>
      <c r="BQ244" s="2" t="s">
        <v>39</v>
      </c>
    </row>
    <row r="245" spans="42:69" x14ac:dyDescent="0.55000000000000004">
      <c r="AP245" s="1">
        <v>0.74</v>
      </c>
      <c r="BP245" s="2" t="s">
        <v>39</v>
      </c>
      <c r="BQ245" s="2" t="s">
        <v>39</v>
      </c>
    </row>
    <row r="246" spans="42:69" x14ac:dyDescent="0.55000000000000004">
      <c r="AP246" s="1">
        <v>0.75</v>
      </c>
      <c r="BP246" s="2" t="s">
        <v>39</v>
      </c>
      <c r="BQ246" s="2" t="s">
        <v>39</v>
      </c>
    </row>
    <row r="247" spans="42:69" x14ac:dyDescent="0.55000000000000004">
      <c r="AP247" s="1">
        <v>0.75</v>
      </c>
      <c r="BP247" s="2" t="s">
        <v>39</v>
      </c>
      <c r="BQ247" s="2" t="s">
        <v>39</v>
      </c>
    </row>
    <row r="248" spans="42:69" x14ac:dyDescent="0.55000000000000004">
      <c r="AP248" s="1">
        <v>0.76</v>
      </c>
      <c r="BP248" s="2" t="s">
        <v>39</v>
      </c>
      <c r="BQ248" s="2" t="s">
        <v>39</v>
      </c>
    </row>
    <row r="249" spans="42:69" x14ac:dyDescent="0.55000000000000004">
      <c r="AP249" s="1">
        <v>0.76</v>
      </c>
      <c r="BP249" s="2" t="s">
        <v>39</v>
      </c>
      <c r="BQ249" s="2" t="s">
        <v>39</v>
      </c>
    </row>
    <row r="250" spans="42:69" x14ac:dyDescent="0.55000000000000004">
      <c r="AP250" s="1">
        <v>0.78</v>
      </c>
      <c r="BP250" s="2" t="s">
        <v>39</v>
      </c>
      <c r="BQ250" s="2" t="s">
        <v>39</v>
      </c>
    </row>
    <row r="251" spans="42:69" x14ac:dyDescent="0.55000000000000004">
      <c r="AP251" s="1">
        <v>0.78</v>
      </c>
      <c r="BP251" s="2" t="s">
        <v>39</v>
      </c>
      <c r="BQ251" s="2" t="s">
        <v>39</v>
      </c>
    </row>
    <row r="252" spans="42:69" x14ac:dyDescent="0.55000000000000004">
      <c r="AP252" s="1">
        <v>0.78</v>
      </c>
      <c r="BP252" s="2" t="s">
        <v>39</v>
      </c>
      <c r="BQ252" s="2" t="s">
        <v>39</v>
      </c>
    </row>
    <row r="253" spans="42:69" x14ac:dyDescent="0.55000000000000004">
      <c r="AP253" s="1">
        <v>0.78</v>
      </c>
      <c r="BP253" s="2" t="s">
        <v>39</v>
      </c>
      <c r="BQ253" s="2" t="s">
        <v>39</v>
      </c>
    </row>
    <row r="254" spans="42:69" x14ac:dyDescent="0.55000000000000004">
      <c r="AP254" s="1">
        <v>0.78</v>
      </c>
      <c r="BP254" s="2" t="s">
        <v>39</v>
      </c>
      <c r="BQ254" s="2" t="s">
        <v>39</v>
      </c>
    </row>
    <row r="255" spans="42:69" x14ac:dyDescent="0.55000000000000004">
      <c r="AP255" s="1">
        <v>0.78</v>
      </c>
      <c r="BP255" s="2" t="s">
        <v>39</v>
      </c>
      <c r="BQ255" s="2" t="s">
        <v>39</v>
      </c>
    </row>
    <row r="256" spans="42:69" x14ac:dyDescent="0.55000000000000004">
      <c r="AP256" s="1">
        <v>0.8</v>
      </c>
      <c r="BP256" s="2" t="s">
        <v>39</v>
      </c>
      <c r="BQ256" s="2" t="s">
        <v>39</v>
      </c>
    </row>
    <row r="257" spans="42:69" x14ac:dyDescent="0.55000000000000004">
      <c r="AP257" s="1">
        <v>0.8</v>
      </c>
      <c r="BP257" s="2" t="s">
        <v>39</v>
      </c>
      <c r="BQ257" s="2" t="s">
        <v>39</v>
      </c>
    </row>
    <row r="258" spans="42:69" x14ac:dyDescent="0.55000000000000004">
      <c r="AP258" s="1">
        <v>0.82</v>
      </c>
      <c r="BP258" s="2" t="s">
        <v>39</v>
      </c>
      <c r="BQ258" s="2" t="s">
        <v>39</v>
      </c>
    </row>
    <row r="259" spans="42:69" x14ac:dyDescent="0.55000000000000004">
      <c r="AP259" s="1">
        <v>0.82</v>
      </c>
      <c r="BP259" s="2" t="s">
        <v>39</v>
      </c>
      <c r="BQ259" s="2" t="s">
        <v>39</v>
      </c>
    </row>
    <row r="260" spans="42:69" x14ac:dyDescent="0.55000000000000004">
      <c r="AP260" s="1">
        <v>0.82</v>
      </c>
      <c r="BP260" s="2" t="s">
        <v>39</v>
      </c>
      <c r="BQ260" s="2" t="s">
        <v>39</v>
      </c>
    </row>
    <row r="261" spans="42:69" x14ac:dyDescent="0.55000000000000004">
      <c r="AP261" s="1">
        <v>0.82</v>
      </c>
      <c r="BP261" s="2" t="s">
        <v>39</v>
      </c>
      <c r="BQ261" s="2" t="s">
        <v>39</v>
      </c>
    </row>
    <row r="262" spans="42:69" x14ac:dyDescent="0.55000000000000004">
      <c r="AP262" s="1">
        <v>0.83</v>
      </c>
      <c r="BP262" s="2" t="s">
        <v>39</v>
      </c>
      <c r="BQ262" s="2" t="s">
        <v>39</v>
      </c>
    </row>
    <row r="263" spans="42:69" x14ac:dyDescent="0.55000000000000004">
      <c r="AP263" s="1">
        <v>0.84</v>
      </c>
      <c r="BP263" s="2" t="s">
        <v>39</v>
      </c>
      <c r="BQ263" s="2" t="s">
        <v>39</v>
      </c>
    </row>
    <row r="264" spans="42:69" x14ac:dyDescent="0.55000000000000004">
      <c r="AP264" s="1">
        <v>0.84</v>
      </c>
      <c r="BP264" s="2" t="s">
        <v>39</v>
      </c>
      <c r="BQ264" s="2" t="s">
        <v>39</v>
      </c>
    </row>
    <row r="265" spans="42:69" x14ac:dyDescent="0.55000000000000004">
      <c r="AP265" s="1">
        <v>0.84</v>
      </c>
      <c r="BP265" s="2" t="s">
        <v>39</v>
      </c>
      <c r="BQ265" s="2" t="s">
        <v>39</v>
      </c>
    </row>
    <row r="266" spans="42:69" x14ac:dyDescent="0.55000000000000004">
      <c r="AP266" s="1">
        <v>0.86</v>
      </c>
      <c r="BP266" s="2" t="s">
        <v>39</v>
      </c>
      <c r="BQ266" s="2" t="s">
        <v>39</v>
      </c>
    </row>
    <row r="267" spans="42:69" x14ac:dyDescent="0.55000000000000004">
      <c r="AP267" s="1">
        <v>0.87</v>
      </c>
      <c r="BP267" s="2" t="s">
        <v>39</v>
      </c>
      <c r="BQ267" s="2" t="s">
        <v>39</v>
      </c>
    </row>
    <row r="268" spans="42:69" x14ac:dyDescent="0.55000000000000004">
      <c r="AP268" s="1">
        <v>0.88</v>
      </c>
      <c r="BP268" s="2" t="s">
        <v>39</v>
      </c>
      <c r="BQ268" s="2" t="s">
        <v>39</v>
      </c>
    </row>
    <row r="269" spans="42:69" x14ac:dyDescent="0.55000000000000004">
      <c r="AP269" s="1">
        <v>0.88</v>
      </c>
      <c r="BP269" s="2" t="s">
        <v>39</v>
      </c>
      <c r="BQ269" s="2" t="s">
        <v>39</v>
      </c>
    </row>
    <row r="270" spans="42:69" x14ac:dyDescent="0.55000000000000004">
      <c r="AP270" s="1">
        <v>0.95</v>
      </c>
      <c r="BP270" s="2" t="s">
        <v>39</v>
      </c>
      <c r="BQ270" s="2" t="s">
        <v>39</v>
      </c>
    </row>
    <row r="271" spans="42:69" x14ac:dyDescent="0.55000000000000004">
      <c r="AP271" s="1">
        <v>0.96</v>
      </c>
      <c r="BP271" s="2" t="s">
        <v>39</v>
      </c>
      <c r="BQ271" s="2" t="s">
        <v>39</v>
      </c>
    </row>
    <row r="272" spans="42:69" x14ac:dyDescent="0.55000000000000004">
      <c r="AP272" s="1">
        <v>0.96</v>
      </c>
      <c r="BP272" s="2" t="s">
        <v>39</v>
      </c>
      <c r="BQ272" s="2" t="s">
        <v>39</v>
      </c>
    </row>
    <row r="273" spans="42:69" x14ac:dyDescent="0.55000000000000004">
      <c r="AP273" s="1">
        <v>0.99</v>
      </c>
      <c r="BP273" s="2" t="s">
        <v>39</v>
      </c>
      <c r="BQ273" s="2" t="s">
        <v>39</v>
      </c>
    </row>
    <row r="274" spans="42:69" x14ac:dyDescent="0.55000000000000004">
      <c r="AP274" s="1">
        <v>1.01</v>
      </c>
      <c r="BP274" s="2" t="s">
        <v>39</v>
      </c>
      <c r="BQ274" s="2" t="s">
        <v>39</v>
      </c>
    </row>
    <row r="275" spans="42:69" x14ac:dyDescent="0.55000000000000004">
      <c r="AP275" s="1">
        <v>1.02</v>
      </c>
      <c r="BP275" s="2" t="s">
        <v>39</v>
      </c>
      <c r="BQ275" s="2" t="s">
        <v>39</v>
      </c>
    </row>
    <row r="276" spans="42:69" x14ac:dyDescent="0.55000000000000004">
      <c r="AP276" s="1">
        <v>1.02</v>
      </c>
      <c r="BP276" s="2" t="s">
        <v>39</v>
      </c>
      <c r="BQ276" s="2" t="s">
        <v>39</v>
      </c>
    </row>
    <row r="277" spans="42:69" x14ac:dyDescent="0.55000000000000004">
      <c r="AP277" s="1">
        <v>1.04</v>
      </c>
      <c r="BP277" s="2" t="s">
        <v>39</v>
      </c>
      <c r="BQ277" s="2" t="s">
        <v>39</v>
      </c>
    </row>
    <row r="278" spans="42:69" x14ac:dyDescent="0.55000000000000004">
      <c r="AP278" s="1">
        <v>1.08</v>
      </c>
      <c r="BP278" s="2" t="s">
        <v>39</v>
      </c>
      <c r="BQ278" s="2" t="s">
        <v>39</v>
      </c>
    </row>
    <row r="279" spans="42:69" x14ac:dyDescent="0.55000000000000004">
      <c r="AP279" s="1">
        <v>1.1100000000000001</v>
      </c>
      <c r="BP279" s="2" t="s">
        <v>39</v>
      </c>
      <c r="BQ279" s="2" t="s">
        <v>39</v>
      </c>
    </row>
    <row r="280" spans="42:69" x14ac:dyDescent="0.55000000000000004">
      <c r="AP280" s="1">
        <v>1.2</v>
      </c>
      <c r="BP280" s="2" t="s">
        <v>39</v>
      </c>
      <c r="BQ280" s="2" t="s">
        <v>39</v>
      </c>
    </row>
    <row r="281" spans="42:69" x14ac:dyDescent="0.55000000000000004">
      <c r="AP281" s="1">
        <v>1.28</v>
      </c>
      <c r="BP281" s="2" t="s">
        <v>39</v>
      </c>
      <c r="BQ281" s="2" t="s">
        <v>39</v>
      </c>
    </row>
    <row r="282" spans="42:69" x14ac:dyDescent="0.55000000000000004">
      <c r="AP282" s="1">
        <v>1.64</v>
      </c>
      <c r="BP282" s="2" t="s">
        <v>39</v>
      </c>
      <c r="BQ282" s="2" t="s">
        <v>39</v>
      </c>
    </row>
    <row r="283" spans="42:69" x14ac:dyDescent="0.55000000000000004">
      <c r="AP283" s="1">
        <v>1.66</v>
      </c>
      <c r="BP283" s="2" t="s">
        <v>39</v>
      </c>
      <c r="BQ283" s="2" t="s">
        <v>39</v>
      </c>
    </row>
  </sheetData>
  <printOptions gridLines="1"/>
  <pageMargins left="0.75" right="0.75" top="1" bottom="1" header="0" footer="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109"/>
  <sheetViews>
    <sheetView workbookViewId="0"/>
  </sheetViews>
  <sheetFormatPr defaultColWidth="8.83203125" defaultRowHeight="14.4" x14ac:dyDescent="0.55000000000000004"/>
  <cols>
    <col min="1" max="1" width="9" style="2" bestFit="1" customWidth="1"/>
    <col min="2" max="2" width="6" style="2" bestFit="1" customWidth="1"/>
    <col min="3" max="3" width="9.71875" style="2" bestFit="1" customWidth="1"/>
    <col min="4" max="4" width="5" style="2" bestFit="1" customWidth="1"/>
    <col min="5" max="5" width="9.44140625" style="2" bestFit="1" customWidth="1"/>
    <col min="6" max="10" width="6.71875" style="2" bestFit="1" customWidth="1"/>
    <col min="11" max="20" width="7.71875" style="2" bestFit="1" customWidth="1"/>
    <col min="21" max="21" width="4" style="2" bestFit="1" customWidth="1"/>
    <col min="22" max="22" width="4.27734375" style="2" bestFit="1" customWidth="1"/>
    <col min="23" max="24" width="4" style="2" bestFit="1" customWidth="1"/>
    <col min="25" max="28" width="10.5546875" style="2" bestFit="1" customWidth="1"/>
    <col min="29" max="29" width="4.44140625" style="2" bestFit="1" customWidth="1"/>
    <col min="30" max="30" width="7.83203125" style="2" bestFit="1" customWidth="1"/>
    <col min="31" max="31" width="11" style="2" bestFit="1" customWidth="1"/>
    <col min="32" max="32" width="6" style="2" bestFit="1" customWidth="1"/>
    <col min="33" max="33" width="6.83203125" style="2" bestFit="1" customWidth="1"/>
    <col min="34" max="34" width="7.83203125" style="2" bestFit="1" customWidth="1"/>
    <col min="35" max="35" width="14.27734375" style="2" bestFit="1" customWidth="1"/>
    <col min="36" max="36" width="13.5546875" style="2" bestFit="1" customWidth="1"/>
    <col min="37" max="37" width="6.83203125" style="2" bestFit="1" customWidth="1"/>
    <col min="38" max="38" width="8.83203125" style="2" bestFit="1" customWidth="1"/>
    <col min="39" max="39" width="10.5546875" style="2" bestFit="1" customWidth="1"/>
    <col min="40" max="40" width="14.94140625" style="2" bestFit="1" customWidth="1"/>
    <col min="41" max="41" width="15.44140625" style="2" bestFit="1" customWidth="1"/>
    <col min="42" max="16384" width="8.83203125" style="2"/>
  </cols>
  <sheetData>
    <row r="1" spans="1:41" x14ac:dyDescent="0.55000000000000004">
      <c r="A1" s="1" t="s">
        <v>196</v>
      </c>
      <c r="B1" s="1" t="s">
        <v>450</v>
      </c>
      <c r="C1" s="1" t="s">
        <v>138</v>
      </c>
      <c r="D1" s="1" t="s">
        <v>117</v>
      </c>
      <c r="E1" s="1" t="s">
        <v>33</v>
      </c>
      <c r="F1" s="2" t="s">
        <v>374</v>
      </c>
      <c r="G1" s="2" t="s">
        <v>246</v>
      </c>
      <c r="H1" s="2" t="s">
        <v>439</v>
      </c>
      <c r="I1" s="2" t="s">
        <v>323</v>
      </c>
      <c r="J1" s="2" t="s">
        <v>184</v>
      </c>
      <c r="K1" s="2" t="s">
        <v>335</v>
      </c>
      <c r="L1" s="2" t="s">
        <v>197</v>
      </c>
      <c r="M1" s="2" t="s">
        <v>78</v>
      </c>
      <c r="N1" s="2" t="s">
        <v>269</v>
      </c>
      <c r="O1" s="2" t="s">
        <v>145</v>
      </c>
      <c r="P1" s="2" t="s">
        <v>540</v>
      </c>
      <c r="Q1" s="2" t="s">
        <v>541</v>
      </c>
      <c r="R1" s="2" t="s">
        <v>542</v>
      </c>
      <c r="S1" s="2" t="s">
        <v>543</v>
      </c>
      <c r="T1" s="2" t="s">
        <v>544</v>
      </c>
      <c r="U1" s="1" t="s">
        <v>378</v>
      </c>
      <c r="V1" s="1" t="s">
        <v>0</v>
      </c>
      <c r="W1" s="1" t="s">
        <v>96</v>
      </c>
      <c r="X1" s="1" t="s">
        <v>327</v>
      </c>
      <c r="Y1" s="2" t="s">
        <v>412</v>
      </c>
      <c r="Z1" s="2" t="s">
        <v>287</v>
      </c>
      <c r="AA1" s="2" t="s">
        <v>156</v>
      </c>
      <c r="AB1" s="2" t="s">
        <v>53</v>
      </c>
      <c r="AC1" s="2" t="s">
        <v>89</v>
      </c>
      <c r="AD1" s="2" t="s">
        <v>249</v>
      </c>
      <c r="AE1" s="2" t="s">
        <v>291</v>
      </c>
      <c r="AF1" s="2" t="s">
        <v>35</v>
      </c>
      <c r="AG1" s="2" t="s">
        <v>470</v>
      </c>
      <c r="AH1" s="2" t="s">
        <v>22</v>
      </c>
      <c r="AI1" s="2" t="s">
        <v>19</v>
      </c>
      <c r="AJ1" s="2" t="s">
        <v>139</v>
      </c>
      <c r="AK1" s="2" t="s">
        <v>286</v>
      </c>
      <c r="AL1" s="2" t="s">
        <v>265</v>
      </c>
      <c r="AM1" s="2" t="s">
        <v>416</v>
      </c>
      <c r="AN1" s="2" t="s">
        <v>518</v>
      </c>
      <c r="AO1" s="2" t="s">
        <v>519</v>
      </c>
    </row>
    <row r="2" spans="1:41" x14ac:dyDescent="0.55000000000000004">
      <c r="A2" s="1">
        <v>86</v>
      </c>
      <c r="B2" s="1">
        <v>3</v>
      </c>
      <c r="C2" s="1">
        <v>14</v>
      </c>
      <c r="D2" s="1">
        <v>0</v>
      </c>
      <c r="E2" s="1">
        <v>2</v>
      </c>
      <c r="F2" s="2">
        <v>1</v>
      </c>
      <c r="G2" s="2">
        <v>1</v>
      </c>
      <c r="H2" s="2" t="s">
        <v>506</v>
      </c>
      <c r="I2" s="2" t="s">
        <v>506</v>
      </c>
      <c r="J2" s="2" t="s">
        <v>506</v>
      </c>
      <c r="K2" s="2">
        <v>1</v>
      </c>
      <c r="L2" s="2">
        <v>2</v>
      </c>
      <c r="M2" s="2">
        <v>2</v>
      </c>
      <c r="N2" s="2">
        <v>2</v>
      </c>
      <c r="O2" s="2">
        <v>2</v>
      </c>
      <c r="P2" s="2">
        <v>1</v>
      </c>
      <c r="Q2" s="2">
        <v>1</v>
      </c>
      <c r="R2" s="2">
        <v>1</v>
      </c>
      <c r="S2" s="2" t="s">
        <v>506</v>
      </c>
      <c r="T2" s="2" t="s">
        <v>506</v>
      </c>
      <c r="U2" s="1">
        <v>190</v>
      </c>
      <c r="V2" s="1">
        <v>220</v>
      </c>
      <c r="W2" s="1">
        <v>200</v>
      </c>
      <c r="X2" s="1">
        <v>200</v>
      </c>
      <c r="Y2" s="2">
        <v>2</v>
      </c>
      <c r="Z2" s="2">
        <v>3</v>
      </c>
      <c r="AA2" s="2">
        <v>5</v>
      </c>
      <c r="AB2" s="2">
        <v>5</v>
      </c>
      <c r="AC2" s="2">
        <v>39</v>
      </c>
      <c r="AD2" s="2">
        <v>2</v>
      </c>
      <c r="AE2" s="2">
        <v>2</v>
      </c>
      <c r="AF2" s="2">
        <v>2</v>
      </c>
      <c r="AG2" s="2">
        <v>2</v>
      </c>
      <c r="AH2" s="2">
        <v>2</v>
      </c>
      <c r="AI2" s="2">
        <v>4.9000000000000004</v>
      </c>
      <c r="AJ2" s="2">
        <v>8</v>
      </c>
      <c r="AK2" s="2">
        <v>1</v>
      </c>
      <c r="AL2" s="2">
        <v>1</v>
      </c>
      <c r="AM2" s="2" t="s">
        <v>148</v>
      </c>
      <c r="AN2" s="2">
        <v>0.82</v>
      </c>
      <c r="AO2" s="2">
        <v>0.79</v>
      </c>
    </row>
    <row r="3" spans="1:41" x14ac:dyDescent="0.55000000000000004">
      <c r="A3" s="1">
        <v>26</v>
      </c>
      <c r="B3" s="1">
        <v>0</v>
      </c>
      <c r="C3" s="1">
        <v>10</v>
      </c>
      <c r="D3" s="1">
        <v>4</v>
      </c>
      <c r="E3" s="1">
        <v>0</v>
      </c>
      <c r="F3" s="2">
        <v>0</v>
      </c>
      <c r="G3" s="2">
        <v>0</v>
      </c>
      <c r="H3" s="2" t="s">
        <v>506</v>
      </c>
      <c r="I3" s="2" t="s">
        <v>506</v>
      </c>
      <c r="J3" s="2" t="s">
        <v>506</v>
      </c>
      <c r="K3" s="2">
        <v>1</v>
      </c>
      <c r="L3" s="2">
        <v>1</v>
      </c>
      <c r="M3" s="2">
        <v>3</v>
      </c>
      <c r="N3" s="2">
        <v>3</v>
      </c>
      <c r="O3" s="2">
        <v>3</v>
      </c>
      <c r="P3" s="2">
        <v>2</v>
      </c>
      <c r="Q3" s="2">
        <v>2</v>
      </c>
      <c r="R3" s="2">
        <v>3</v>
      </c>
      <c r="S3" s="2">
        <v>2</v>
      </c>
      <c r="T3" s="2" t="s">
        <v>506</v>
      </c>
      <c r="U3" s="1">
        <v>220</v>
      </c>
      <c r="V3" s="1">
        <v>200</v>
      </c>
      <c r="W3" s="1">
        <v>240</v>
      </c>
      <c r="X3" s="1">
        <v>230</v>
      </c>
      <c r="Y3" s="2">
        <v>5</v>
      </c>
      <c r="Z3" s="2">
        <v>5</v>
      </c>
      <c r="AA3" s="2">
        <v>4</v>
      </c>
      <c r="AB3" s="2">
        <v>4</v>
      </c>
      <c r="AC3" s="2">
        <v>35</v>
      </c>
      <c r="AD3" s="2">
        <v>2</v>
      </c>
      <c r="AE3" s="2">
        <v>1</v>
      </c>
      <c r="AF3" s="2">
        <v>1</v>
      </c>
      <c r="AG3" s="2">
        <v>2</v>
      </c>
      <c r="AH3" s="2">
        <v>1</v>
      </c>
      <c r="AI3" s="2">
        <v>-0.3</v>
      </c>
      <c r="AJ3" s="2">
        <v>10.5</v>
      </c>
      <c r="AK3" s="2">
        <v>2</v>
      </c>
      <c r="AL3" s="2">
        <v>1</v>
      </c>
      <c r="AM3" s="2" t="s">
        <v>148</v>
      </c>
      <c r="AN3" s="2">
        <v>1.83</v>
      </c>
      <c r="AO3" s="2">
        <v>1.62</v>
      </c>
    </row>
    <row r="4" spans="1:41" x14ac:dyDescent="0.55000000000000004">
      <c r="A4" s="1">
        <v>20</v>
      </c>
      <c r="B4" s="1">
        <v>2</v>
      </c>
      <c r="C4" s="1">
        <v>22</v>
      </c>
      <c r="D4" s="1">
        <v>4</v>
      </c>
      <c r="E4" s="1">
        <v>1</v>
      </c>
      <c r="F4" s="2">
        <v>1</v>
      </c>
      <c r="G4" s="2">
        <v>1</v>
      </c>
      <c r="H4" s="2">
        <v>0</v>
      </c>
      <c r="I4" s="2" t="s">
        <v>506</v>
      </c>
      <c r="J4" s="2" t="s">
        <v>506</v>
      </c>
      <c r="K4" s="2">
        <v>3</v>
      </c>
      <c r="L4" s="2">
        <v>3</v>
      </c>
      <c r="M4" s="2">
        <v>3</v>
      </c>
      <c r="N4" s="2">
        <v>3</v>
      </c>
      <c r="O4" s="2">
        <v>3</v>
      </c>
      <c r="P4" s="2">
        <v>3</v>
      </c>
      <c r="Q4" s="2">
        <v>3</v>
      </c>
      <c r="R4" s="2">
        <v>3</v>
      </c>
      <c r="S4" s="2">
        <v>3</v>
      </c>
      <c r="T4" s="2">
        <v>3</v>
      </c>
      <c r="U4" s="1">
        <v>260</v>
      </c>
      <c r="V4" s="1">
        <v>260</v>
      </c>
      <c r="W4" s="1">
        <v>240</v>
      </c>
      <c r="X4" s="1">
        <v>280</v>
      </c>
      <c r="Y4" s="2">
        <v>4</v>
      </c>
      <c r="Z4" s="2">
        <v>5</v>
      </c>
      <c r="AA4" s="2">
        <v>5</v>
      </c>
      <c r="AB4" s="2">
        <v>5</v>
      </c>
      <c r="AC4" s="2">
        <v>35</v>
      </c>
      <c r="AD4" s="2">
        <v>3</v>
      </c>
      <c r="AE4" s="2">
        <v>2</v>
      </c>
      <c r="AF4" s="2">
        <v>2</v>
      </c>
      <c r="AG4" s="2">
        <v>2</v>
      </c>
      <c r="AH4" s="2">
        <v>2</v>
      </c>
      <c r="AI4" s="2">
        <v>-1.2</v>
      </c>
      <c r="AJ4" s="2">
        <v>17.600000000000001</v>
      </c>
      <c r="AK4" s="2">
        <v>3</v>
      </c>
      <c r="AL4" s="2">
        <v>1</v>
      </c>
      <c r="AM4" s="2" t="s">
        <v>148</v>
      </c>
      <c r="AN4" s="2">
        <v>1.39</v>
      </c>
      <c r="AO4" s="2">
        <v>1.36</v>
      </c>
    </row>
    <row r="5" spans="1:41" x14ac:dyDescent="0.55000000000000004">
      <c r="A5" s="1">
        <v>11</v>
      </c>
      <c r="B5" s="1">
        <v>1</v>
      </c>
      <c r="C5" s="1">
        <v>37</v>
      </c>
      <c r="D5" s="1">
        <v>16</v>
      </c>
      <c r="E5" s="1">
        <v>14</v>
      </c>
      <c r="F5" s="2">
        <v>1</v>
      </c>
      <c r="G5" s="2">
        <v>1</v>
      </c>
      <c r="H5" s="2">
        <v>1</v>
      </c>
      <c r="I5" s="2">
        <v>0</v>
      </c>
      <c r="J5" s="2" t="s">
        <v>506</v>
      </c>
      <c r="K5" s="2">
        <v>1</v>
      </c>
      <c r="L5" s="2">
        <v>1</v>
      </c>
      <c r="M5" s="2">
        <v>1</v>
      </c>
      <c r="N5" s="2">
        <v>1</v>
      </c>
      <c r="O5" s="2">
        <v>3</v>
      </c>
      <c r="P5" s="2">
        <v>1</v>
      </c>
      <c r="Q5" s="2">
        <v>2</v>
      </c>
      <c r="R5" s="2">
        <v>1</v>
      </c>
      <c r="S5" s="2" t="s">
        <v>506</v>
      </c>
      <c r="T5" s="2" t="s">
        <v>506</v>
      </c>
      <c r="U5" s="1">
        <v>210</v>
      </c>
      <c r="V5" s="1">
        <v>300</v>
      </c>
      <c r="W5" s="1">
        <v>280</v>
      </c>
      <c r="X5" s="1">
        <v>265</v>
      </c>
      <c r="Y5" s="2">
        <v>4</v>
      </c>
      <c r="Z5" s="2">
        <v>3</v>
      </c>
      <c r="AA5" s="2">
        <v>4</v>
      </c>
      <c r="AB5" s="2">
        <v>4</v>
      </c>
      <c r="AC5" s="2">
        <v>38</v>
      </c>
      <c r="AD5" s="2">
        <v>2</v>
      </c>
      <c r="AE5" s="2">
        <v>1</v>
      </c>
      <c r="AF5" s="2">
        <v>1</v>
      </c>
      <c r="AG5" s="2">
        <v>1</v>
      </c>
      <c r="AH5" s="2">
        <v>1</v>
      </c>
      <c r="AI5" s="2">
        <v>-1.9</v>
      </c>
      <c r="AJ5" s="2">
        <v>9</v>
      </c>
      <c r="AK5" s="2">
        <v>4</v>
      </c>
      <c r="AL5" s="2">
        <v>1</v>
      </c>
      <c r="AM5" s="2" t="s">
        <v>148</v>
      </c>
      <c r="AN5" s="2">
        <v>0.81</v>
      </c>
      <c r="AO5" s="2">
        <v>1.3</v>
      </c>
    </row>
    <row r="6" spans="1:41" x14ac:dyDescent="0.55000000000000004">
      <c r="A6" s="1">
        <v>3</v>
      </c>
      <c r="B6" s="1">
        <v>0</v>
      </c>
      <c r="C6" s="1">
        <v>15</v>
      </c>
      <c r="D6" s="1">
        <v>24</v>
      </c>
      <c r="E6" s="1">
        <v>48</v>
      </c>
      <c r="F6" s="2">
        <v>1</v>
      </c>
      <c r="G6" s="2">
        <v>1</v>
      </c>
      <c r="H6" s="2">
        <v>1</v>
      </c>
      <c r="I6" s="2" t="s">
        <v>506</v>
      </c>
      <c r="J6" s="2" t="s">
        <v>506</v>
      </c>
      <c r="K6" s="2">
        <v>1</v>
      </c>
      <c r="L6" s="2">
        <v>1</v>
      </c>
      <c r="M6" s="2">
        <v>1</v>
      </c>
      <c r="N6" s="2">
        <v>3</v>
      </c>
      <c r="O6" s="2">
        <v>3</v>
      </c>
      <c r="P6" s="2">
        <v>2</v>
      </c>
      <c r="Q6" s="2">
        <v>2</v>
      </c>
      <c r="R6" s="2">
        <v>2</v>
      </c>
      <c r="S6" s="2">
        <v>2</v>
      </c>
      <c r="T6" s="2" t="s">
        <v>506</v>
      </c>
      <c r="U6" s="1">
        <v>270</v>
      </c>
      <c r="V6" s="1">
        <v>265</v>
      </c>
      <c r="W6" s="1">
        <v>280</v>
      </c>
      <c r="X6" s="1">
        <v>270</v>
      </c>
      <c r="Y6" s="2">
        <v>3</v>
      </c>
      <c r="Z6" s="2">
        <v>3</v>
      </c>
      <c r="AA6" s="2">
        <v>5</v>
      </c>
      <c r="AB6" s="2">
        <v>5</v>
      </c>
      <c r="AC6" s="2">
        <v>40</v>
      </c>
      <c r="AD6" s="2">
        <v>3</v>
      </c>
      <c r="AE6" s="2">
        <v>2</v>
      </c>
      <c r="AF6" s="2">
        <v>2</v>
      </c>
      <c r="AG6" s="2">
        <v>2</v>
      </c>
      <c r="AH6" s="2">
        <v>1</v>
      </c>
      <c r="AI6" s="2">
        <v>2.7</v>
      </c>
      <c r="AJ6" s="2">
        <v>14.6</v>
      </c>
      <c r="AK6" s="2">
        <v>5</v>
      </c>
      <c r="AL6" s="2">
        <v>1</v>
      </c>
      <c r="AM6" s="2" t="s">
        <v>148</v>
      </c>
      <c r="AN6" s="2">
        <v>1.72</v>
      </c>
      <c r="AO6" s="2">
        <v>1.88</v>
      </c>
    </row>
    <row r="7" spans="1:41" x14ac:dyDescent="0.55000000000000004">
      <c r="F7" s="2">
        <v>1</v>
      </c>
      <c r="G7" s="2">
        <v>0</v>
      </c>
      <c r="H7" s="2">
        <v>0</v>
      </c>
      <c r="I7" s="2">
        <v>0</v>
      </c>
      <c r="J7" s="2" t="s">
        <v>506</v>
      </c>
      <c r="K7" s="2">
        <v>1</v>
      </c>
      <c r="L7" s="2">
        <v>2</v>
      </c>
      <c r="M7" s="2">
        <v>2</v>
      </c>
      <c r="N7" s="2">
        <v>2</v>
      </c>
      <c r="O7" s="2">
        <v>2</v>
      </c>
      <c r="P7" s="2">
        <v>3</v>
      </c>
      <c r="Q7" s="2">
        <v>3</v>
      </c>
      <c r="R7" s="2">
        <v>2</v>
      </c>
      <c r="S7" s="2">
        <v>3</v>
      </c>
      <c r="T7" s="2" t="s">
        <v>506</v>
      </c>
      <c r="U7" s="1">
        <v>280</v>
      </c>
      <c r="V7" s="1">
        <v>280</v>
      </c>
      <c r="W7" s="1">
        <v>270</v>
      </c>
      <c r="X7" s="1">
        <v>275</v>
      </c>
      <c r="Y7" s="2">
        <v>3</v>
      </c>
      <c r="Z7" s="2">
        <v>3</v>
      </c>
      <c r="AA7" s="2">
        <v>4</v>
      </c>
      <c r="AB7" s="2">
        <v>5</v>
      </c>
      <c r="AC7" s="2">
        <v>43</v>
      </c>
      <c r="AD7" s="2">
        <v>3</v>
      </c>
      <c r="AE7" s="2">
        <v>2</v>
      </c>
      <c r="AF7" s="2">
        <v>2</v>
      </c>
      <c r="AG7" s="2">
        <v>2</v>
      </c>
      <c r="AH7" s="2">
        <v>2</v>
      </c>
      <c r="AI7" s="2">
        <v>3.2</v>
      </c>
      <c r="AJ7" s="2">
        <v>9.1999999999999993</v>
      </c>
      <c r="AK7" s="2">
        <v>1</v>
      </c>
      <c r="AL7" s="2">
        <v>1</v>
      </c>
      <c r="AM7" s="2" t="s">
        <v>118</v>
      </c>
      <c r="AN7" s="2">
        <v>3.23</v>
      </c>
      <c r="AO7" s="2">
        <v>3.35</v>
      </c>
    </row>
    <row r="8" spans="1:41" x14ac:dyDescent="0.55000000000000004">
      <c r="F8" s="2">
        <v>0</v>
      </c>
      <c r="G8" s="2">
        <v>0</v>
      </c>
      <c r="H8" s="2">
        <v>0</v>
      </c>
      <c r="I8" s="2" t="s">
        <v>506</v>
      </c>
      <c r="J8" s="2" t="s">
        <v>506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 t="s">
        <v>506</v>
      </c>
      <c r="S8" s="2" t="s">
        <v>506</v>
      </c>
      <c r="T8" s="2" t="s">
        <v>506</v>
      </c>
      <c r="U8" s="1">
        <v>260</v>
      </c>
      <c r="V8" s="1">
        <v>280</v>
      </c>
      <c r="W8" s="1">
        <v>280</v>
      </c>
      <c r="X8" s="1">
        <v>300</v>
      </c>
      <c r="Y8" s="2">
        <v>3</v>
      </c>
      <c r="Z8" s="2">
        <v>4</v>
      </c>
      <c r="AA8" s="2">
        <v>4</v>
      </c>
      <c r="AB8" s="2">
        <v>4</v>
      </c>
      <c r="AC8" s="2">
        <v>46</v>
      </c>
      <c r="AD8" s="2">
        <v>3</v>
      </c>
      <c r="AE8" s="2">
        <v>2</v>
      </c>
      <c r="AF8" s="2">
        <v>2</v>
      </c>
      <c r="AG8" s="2">
        <v>2</v>
      </c>
      <c r="AH8" s="2">
        <v>2</v>
      </c>
      <c r="AI8" s="2">
        <v>3.6</v>
      </c>
      <c r="AJ8" s="2">
        <v>2.5</v>
      </c>
      <c r="AK8" s="2">
        <v>2</v>
      </c>
      <c r="AL8" s="2">
        <v>1</v>
      </c>
      <c r="AM8" s="2" t="s">
        <v>118</v>
      </c>
      <c r="AN8" s="2">
        <v>1.23</v>
      </c>
      <c r="AO8" s="2">
        <v>1.06</v>
      </c>
    </row>
    <row r="9" spans="1:41" x14ac:dyDescent="0.55000000000000004"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2</v>
      </c>
      <c r="M9" s="2">
        <v>2</v>
      </c>
      <c r="N9" s="2">
        <v>2</v>
      </c>
      <c r="O9" s="2">
        <v>3</v>
      </c>
      <c r="P9" s="2">
        <v>2</v>
      </c>
      <c r="Q9" s="2">
        <v>3</v>
      </c>
      <c r="R9" s="2">
        <v>3</v>
      </c>
      <c r="S9" s="2">
        <v>3</v>
      </c>
      <c r="T9" s="2">
        <v>3</v>
      </c>
      <c r="U9" s="1">
        <v>275</v>
      </c>
      <c r="V9" s="1">
        <v>275</v>
      </c>
      <c r="W9" s="1">
        <v>275</v>
      </c>
      <c r="X9" s="1">
        <v>305</v>
      </c>
      <c r="Y9" s="2">
        <v>4</v>
      </c>
      <c r="Z9" s="2">
        <v>4</v>
      </c>
      <c r="AA9" s="2">
        <v>5</v>
      </c>
      <c r="AB9" s="2">
        <v>5</v>
      </c>
      <c r="AC9" s="2">
        <v>35</v>
      </c>
      <c r="AD9" s="2">
        <v>2</v>
      </c>
      <c r="AE9" s="2">
        <v>1</v>
      </c>
      <c r="AF9" s="2">
        <v>2</v>
      </c>
      <c r="AG9" s="2">
        <v>2</v>
      </c>
      <c r="AH9" s="2">
        <v>1</v>
      </c>
      <c r="AI9" s="2">
        <v>-1</v>
      </c>
      <c r="AJ9" s="2">
        <v>4.5</v>
      </c>
      <c r="AK9" s="2">
        <v>3</v>
      </c>
      <c r="AL9" s="2">
        <v>1</v>
      </c>
      <c r="AM9" s="2" t="s">
        <v>118</v>
      </c>
      <c r="AN9" s="2">
        <v>1.37</v>
      </c>
      <c r="AO9" s="2">
        <v>1.34</v>
      </c>
    </row>
    <row r="10" spans="1:41" x14ac:dyDescent="0.55000000000000004">
      <c r="F10" s="2">
        <v>0</v>
      </c>
      <c r="G10" s="2">
        <v>0</v>
      </c>
      <c r="H10" s="2" t="s">
        <v>506</v>
      </c>
      <c r="I10" s="2" t="s">
        <v>506</v>
      </c>
      <c r="J10" s="2" t="s">
        <v>506</v>
      </c>
      <c r="K10" s="2">
        <v>1</v>
      </c>
      <c r="L10" s="2">
        <v>3</v>
      </c>
      <c r="M10" s="2">
        <v>3</v>
      </c>
      <c r="N10" s="2">
        <v>3</v>
      </c>
      <c r="O10" s="2">
        <v>3</v>
      </c>
      <c r="P10" s="2">
        <v>1</v>
      </c>
      <c r="Q10" s="2">
        <v>1</v>
      </c>
      <c r="R10" s="2">
        <v>1</v>
      </c>
      <c r="S10" s="2">
        <v>1</v>
      </c>
      <c r="T10" s="2" t="s">
        <v>506</v>
      </c>
      <c r="U10" s="1">
        <v>280</v>
      </c>
      <c r="V10" s="1">
        <v>290</v>
      </c>
      <c r="W10" s="1">
        <v>300</v>
      </c>
      <c r="X10" s="1">
        <v>290</v>
      </c>
      <c r="Y10" s="2">
        <v>4</v>
      </c>
      <c r="Z10" s="2">
        <v>5</v>
      </c>
      <c r="AA10" s="2">
        <v>5</v>
      </c>
      <c r="AB10" s="2">
        <v>5</v>
      </c>
      <c r="AC10" s="2">
        <v>35</v>
      </c>
      <c r="AD10" s="2">
        <v>2</v>
      </c>
      <c r="AE10" s="2">
        <v>2</v>
      </c>
      <c r="AF10" s="2">
        <v>2</v>
      </c>
      <c r="AG10" s="2">
        <v>2</v>
      </c>
      <c r="AH10" s="2">
        <v>1</v>
      </c>
      <c r="AI10" s="2">
        <v>-2.1</v>
      </c>
      <c r="AJ10" s="2">
        <v>12</v>
      </c>
      <c r="AK10" s="2">
        <v>4</v>
      </c>
      <c r="AL10" s="2">
        <v>1</v>
      </c>
      <c r="AM10" s="2" t="s">
        <v>118</v>
      </c>
      <c r="AN10" s="2">
        <v>1.72</v>
      </c>
      <c r="AO10" s="2">
        <v>1.56</v>
      </c>
    </row>
    <row r="11" spans="1:41" x14ac:dyDescent="0.55000000000000004">
      <c r="F11" s="2">
        <v>1</v>
      </c>
      <c r="G11" s="2">
        <v>1</v>
      </c>
      <c r="H11" s="2">
        <v>1</v>
      </c>
      <c r="I11" s="2">
        <v>1</v>
      </c>
      <c r="J11" s="2" t="s">
        <v>506</v>
      </c>
      <c r="K11" s="2">
        <v>1</v>
      </c>
      <c r="L11" s="2">
        <v>1</v>
      </c>
      <c r="M11" s="2">
        <v>1</v>
      </c>
      <c r="N11" s="2">
        <v>3</v>
      </c>
      <c r="O11" s="2">
        <v>3</v>
      </c>
      <c r="P11" s="2">
        <v>3</v>
      </c>
      <c r="Q11" s="2">
        <v>2</v>
      </c>
      <c r="R11" s="2">
        <v>3</v>
      </c>
      <c r="S11" s="2" t="s">
        <v>506</v>
      </c>
      <c r="T11" s="2" t="s">
        <v>506</v>
      </c>
      <c r="U11" s="1">
        <v>320</v>
      </c>
      <c r="V11" s="1">
        <v>290</v>
      </c>
      <c r="W11" s="1">
        <v>300</v>
      </c>
      <c r="X11" s="1">
        <v>290</v>
      </c>
      <c r="Y11" s="2">
        <v>4</v>
      </c>
      <c r="Z11" s="2">
        <v>4</v>
      </c>
      <c r="AA11" s="2">
        <v>3</v>
      </c>
      <c r="AB11" s="2">
        <v>3</v>
      </c>
      <c r="AC11" s="2">
        <v>32</v>
      </c>
      <c r="AD11" s="2">
        <v>2</v>
      </c>
      <c r="AE11" s="2">
        <v>2</v>
      </c>
      <c r="AF11" s="2">
        <v>2</v>
      </c>
      <c r="AG11" s="2">
        <v>2</v>
      </c>
      <c r="AH11" s="2">
        <v>1</v>
      </c>
      <c r="AI11" s="2">
        <v>-1.9</v>
      </c>
      <c r="AJ11" s="2">
        <v>6</v>
      </c>
      <c r="AK11" s="2">
        <v>5</v>
      </c>
      <c r="AL11" s="2">
        <v>1</v>
      </c>
      <c r="AM11" s="2" t="s">
        <v>118</v>
      </c>
      <c r="AN11" s="2">
        <v>0.96</v>
      </c>
      <c r="AO11" s="2">
        <v>0.94</v>
      </c>
    </row>
    <row r="12" spans="1:41" x14ac:dyDescent="0.55000000000000004">
      <c r="F12" s="2">
        <v>1</v>
      </c>
      <c r="G12" s="2">
        <v>1</v>
      </c>
      <c r="H12" s="2">
        <v>1</v>
      </c>
      <c r="I12" s="2">
        <v>1</v>
      </c>
      <c r="J12" s="2">
        <v>1</v>
      </c>
      <c r="P12" s="2">
        <v>2</v>
      </c>
      <c r="Q12" s="2">
        <v>2</v>
      </c>
      <c r="R12" s="2">
        <v>2</v>
      </c>
      <c r="S12" s="2" t="s">
        <v>506</v>
      </c>
      <c r="T12" s="2" t="s">
        <v>506</v>
      </c>
      <c r="U12" s="1">
        <v>300</v>
      </c>
      <c r="V12" s="1">
        <v>300</v>
      </c>
      <c r="W12" s="1">
        <v>310</v>
      </c>
      <c r="X12" s="1">
        <v>300</v>
      </c>
      <c r="Y12" s="2">
        <v>4</v>
      </c>
      <c r="Z12" s="2">
        <v>4</v>
      </c>
      <c r="AA12" s="2">
        <v>5</v>
      </c>
      <c r="AB12" s="2">
        <v>5</v>
      </c>
      <c r="AC12" s="2">
        <v>40</v>
      </c>
      <c r="AD12" s="2">
        <v>3</v>
      </c>
      <c r="AE12" s="2">
        <v>3</v>
      </c>
      <c r="AF12" s="2">
        <v>2</v>
      </c>
      <c r="AG12" s="2">
        <v>2</v>
      </c>
      <c r="AH12" s="2">
        <v>2</v>
      </c>
      <c r="AI12" s="2">
        <v>4.5</v>
      </c>
      <c r="AJ12" s="2">
        <v>6</v>
      </c>
      <c r="AK12" s="2">
        <v>1</v>
      </c>
      <c r="AL12" s="2">
        <v>1</v>
      </c>
      <c r="AM12" s="2" t="s">
        <v>342</v>
      </c>
      <c r="AN12" s="2">
        <v>0.76</v>
      </c>
      <c r="AO12" s="2">
        <v>0.69</v>
      </c>
    </row>
    <row r="13" spans="1:41" x14ac:dyDescent="0.55000000000000004">
      <c r="F13" s="2">
        <v>1</v>
      </c>
      <c r="G13" s="2">
        <v>1</v>
      </c>
      <c r="H13" s="2">
        <v>1</v>
      </c>
      <c r="I13" s="2" t="s">
        <v>506</v>
      </c>
      <c r="J13" s="2" t="s">
        <v>506</v>
      </c>
      <c r="P13" s="2">
        <v>1</v>
      </c>
      <c r="Q13" s="2">
        <v>3</v>
      </c>
      <c r="R13" s="2">
        <v>1</v>
      </c>
      <c r="S13" s="2">
        <v>1</v>
      </c>
      <c r="T13" s="2" t="s">
        <v>506</v>
      </c>
      <c r="U13" s="1">
        <v>270</v>
      </c>
      <c r="V13" s="1">
        <v>250</v>
      </c>
      <c r="W13" s="1">
        <v>330</v>
      </c>
      <c r="X13" s="1">
        <v>370</v>
      </c>
      <c r="Y13" s="2">
        <v>5</v>
      </c>
      <c r="Z13" s="2">
        <v>5</v>
      </c>
      <c r="AA13" s="2">
        <v>4</v>
      </c>
      <c r="AB13" s="2">
        <v>4</v>
      </c>
      <c r="AC13" s="2">
        <v>41</v>
      </c>
      <c r="AD13" s="2">
        <v>2</v>
      </c>
      <c r="AE13" s="2">
        <v>2</v>
      </c>
      <c r="AF13" s="2">
        <v>2</v>
      </c>
      <c r="AG13" s="2">
        <v>2</v>
      </c>
      <c r="AH13" s="2">
        <v>2</v>
      </c>
      <c r="AI13" s="2">
        <v>2.2000000000000002</v>
      </c>
      <c r="AJ13" s="2">
        <v>11</v>
      </c>
      <c r="AK13" s="2">
        <v>2</v>
      </c>
      <c r="AL13" s="2">
        <v>1</v>
      </c>
      <c r="AM13" s="2" t="s">
        <v>342</v>
      </c>
      <c r="AN13" s="2">
        <v>1.1499999999999999</v>
      </c>
      <c r="AO13" s="2">
        <v>1.1599999999999999</v>
      </c>
    </row>
    <row r="14" spans="1:41" x14ac:dyDescent="0.55000000000000004">
      <c r="F14" s="2">
        <v>1</v>
      </c>
      <c r="G14" s="2">
        <v>1</v>
      </c>
      <c r="H14" s="2">
        <v>1</v>
      </c>
      <c r="I14" s="2">
        <v>1</v>
      </c>
      <c r="J14" s="2" t="s">
        <v>506</v>
      </c>
      <c r="P14" s="2">
        <v>3</v>
      </c>
      <c r="Q14" s="2">
        <v>3</v>
      </c>
      <c r="R14" s="2">
        <v>3</v>
      </c>
      <c r="S14" s="2">
        <v>3</v>
      </c>
      <c r="T14" s="2" t="s">
        <v>506</v>
      </c>
      <c r="U14" s="1">
        <v>320</v>
      </c>
      <c r="V14" s="1">
        <v>330</v>
      </c>
      <c r="W14" s="1">
        <v>330</v>
      </c>
      <c r="X14" s="1">
        <v>330</v>
      </c>
      <c r="Y14" s="2">
        <v>4</v>
      </c>
      <c r="Z14" s="2">
        <v>4</v>
      </c>
      <c r="AA14" s="2">
        <v>4</v>
      </c>
      <c r="AB14" s="2">
        <v>4</v>
      </c>
      <c r="AC14" s="2">
        <v>30</v>
      </c>
      <c r="AD14" s="2">
        <v>2</v>
      </c>
      <c r="AE14" s="2">
        <v>2</v>
      </c>
      <c r="AF14" s="2">
        <v>2</v>
      </c>
      <c r="AG14" s="2">
        <v>2</v>
      </c>
      <c r="AH14" s="2">
        <v>2</v>
      </c>
      <c r="AI14" s="2">
        <v>-2.6</v>
      </c>
      <c r="AJ14" s="2">
        <v>13</v>
      </c>
      <c r="AK14" s="2">
        <v>3</v>
      </c>
      <c r="AL14" s="2">
        <v>1</v>
      </c>
      <c r="AM14" s="2" t="s">
        <v>342</v>
      </c>
      <c r="AN14" s="2">
        <v>0.95</v>
      </c>
      <c r="AO14" s="2">
        <v>0.71</v>
      </c>
    </row>
    <row r="15" spans="1:41" x14ac:dyDescent="0.55000000000000004">
      <c r="F15" s="2">
        <v>1</v>
      </c>
      <c r="G15" s="2">
        <v>1</v>
      </c>
      <c r="H15" s="2">
        <v>1</v>
      </c>
      <c r="I15" s="2">
        <v>0</v>
      </c>
      <c r="J15" s="2" t="s">
        <v>506</v>
      </c>
      <c r="P15" s="2">
        <v>2</v>
      </c>
      <c r="Q15" s="2">
        <v>2</v>
      </c>
      <c r="R15" s="2">
        <v>1</v>
      </c>
      <c r="S15" s="2">
        <v>2</v>
      </c>
      <c r="T15" s="2">
        <v>2</v>
      </c>
      <c r="U15" s="1">
        <v>335</v>
      </c>
      <c r="V15" s="1">
        <v>320</v>
      </c>
      <c r="W15" s="1">
        <v>335</v>
      </c>
      <c r="X15" s="1">
        <v>375</v>
      </c>
      <c r="Y15" s="2">
        <v>4</v>
      </c>
      <c r="Z15" s="2">
        <v>3</v>
      </c>
      <c r="AA15" s="2">
        <v>5</v>
      </c>
      <c r="AB15" s="2">
        <v>5</v>
      </c>
      <c r="AC15" s="2">
        <v>39</v>
      </c>
      <c r="AD15" s="2">
        <v>3</v>
      </c>
      <c r="AE15" s="2">
        <v>2</v>
      </c>
      <c r="AF15" s="2">
        <v>2</v>
      </c>
      <c r="AG15" s="2">
        <v>2</v>
      </c>
      <c r="AH15" s="2">
        <v>1</v>
      </c>
      <c r="AI15" s="2">
        <v>3.5</v>
      </c>
      <c r="AJ15" s="2">
        <v>14.2</v>
      </c>
      <c r="AK15" s="2">
        <v>4</v>
      </c>
      <c r="AL15" s="2">
        <v>1</v>
      </c>
      <c r="AM15" s="2" t="s">
        <v>342</v>
      </c>
      <c r="AN15" s="2">
        <v>1</v>
      </c>
      <c r="AO15" s="2">
        <v>0.83</v>
      </c>
    </row>
    <row r="16" spans="1:41" x14ac:dyDescent="0.55000000000000004">
      <c r="F16" s="2">
        <v>0</v>
      </c>
      <c r="G16" s="2">
        <v>0</v>
      </c>
      <c r="H16" s="2" t="s">
        <v>506</v>
      </c>
      <c r="I16" s="2" t="s">
        <v>506</v>
      </c>
      <c r="J16" s="2" t="s">
        <v>506</v>
      </c>
      <c r="P16" s="2">
        <v>1</v>
      </c>
      <c r="Q16" s="2">
        <v>1</v>
      </c>
      <c r="R16" s="2">
        <v>2</v>
      </c>
      <c r="S16" s="2" t="s">
        <v>506</v>
      </c>
      <c r="T16" s="2" t="s">
        <v>506</v>
      </c>
      <c r="U16" s="1">
        <v>350</v>
      </c>
      <c r="V16" s="1">
        <v>320</v>
      </c>
      <c r="W16" s="1">
        <v>340</v>
      </c>
      <c r="X16" s="1">
        <v>365</v>
      </c>
      <c r="Y16" s="2">
        <v>4</v>
      </c>
      <c r="Z16" s="2">
        <v>4</v>
      </c>
      <c r="AA16" s="2">
        <v>5</v>
      </c>
      <c r="AB16" s="2">
        <v>5</v>
      </c>
      <c r="AC16" s="2">
        <v>33</v>
      </c>
      <c r="AD16" s="2">
        <v>2</v>
      </c>
      <c r="AE16" s="2">
        <v>2</v>
      </c>
      <c r="AF16" s="2">
        <v>2</v>
      </c>
      <c r="AG16" s="2">
        <v>2</v>
      </c>
      <c r="AH16" s="2">
        <v>2</v>
      </c>
      <c r="AI16" s="2">
        <v>0.8</v>
      </c>
      <c r="AJ16" s="2">
        <v>7.5</v>
      </c>
      <c r="AK16" s="2">
        <v>5</v>
      </c>
      <c r="AL16" s="2">
        <v>1</v>
      </c>
      <c r="AM16" s="2" t="s">
        <v>342</v>
      </c>
      <c r="AN16" s="2">
        <v>1.52</v>
      </c>
      <c r="AO16" s="2">
        <v>1.44</v>
      </c>
    </row>
    <row r="17" spans="6:41" x14ac:dyDescent="0.55000000000000004">
      <c r="F17" s="2">
        <v>1</v>
      </c>
      <c r="G17" s="2">
        <v>1</v>
      </c>
      <c r="H17" s="2" t="s">
        <v>506</v>
      </c>
      <c r="I17" s="2" t="s">
        <v>506</v>
      </c>
      <c r="J17" s="2" t="s">
        <v>506</v>
      </c>
      <c r="P17" s="2">
        <v>3</v>
      </c>
      <c r="Q17" s="2">
        <v>3</v>
      </c>
      <c r="R17" s="2" t="s">
        <v>506</v>
      </c>
      <c r="S17" s="2" t="s">
        <v>506</v>
      </c>
      <c r="T17" s="2" t="s">
        <v>506</v>
      </c>
      <c r="U17" s="1">
        <v>360</v>
      </c>
      <c r="V17" s="1">
        <v>320</v>
      </c>
      <c r="W17" s="1">
        <v>350</v>
      </c>
      <c r="X17" s="1">
        <v>345</v>
      </c>
      <c r="Y17" s="2">
        <v>3</v>
      </c>
      <c r="Z17" s="2">
        <v>3</v>
      </c>
      <c r="AA17" s="2">
        <v>4</v>
      </c>
      <c r="AB17" s="2">
        <v>5</v>
      </c>
      <c r="AC17" s="2">
        <v>44</v>
      </c>
      <c r="AD17" s="2">
        <v>2</v>
      </c>
      <c r="AE17" s="2">
        <v>2</v>
      </c>
      <c r="AF17" s="2">
        <v>2</v>
      </c>
      <c r="AG17" s="2">
        <v>2</v>
      </c>
      <c r="AH17" s="2">
        <v>2</v>
      </c>
      <c r="AI17" s="2">
        <v>4.4000000000000004</v>
      </c>
      <c r="AJ17" s="2">
        <v>8.1999999999999993</v>
      </c>
      <c r="AK17" s="2">
        <v>1</v>
      </c>
      <c r="AL17" s="2">
        <v>2</v>
      </c>
      <c r="AM17" s="2" t="s">
        <v>148</v>
      </c>
      <c r="AN17" s="2">
        <v>1.56</v>
      </c>
      <c r="AO17" s="2">
        <v>1.26</v>
      </c>
    </row>
    <row r="18" spans="6:41" x14ac:dyDescent="0.55000000000000004">
      <c r="F18" s="2">
        <v>1</v>
      </c>
      <c r="G18" s="2">
        <v>0</v>
      </c>
      <c r="H18" s="2">
        <v>0</v>
      </c>
      <c r="I18" s="2" t="s">
        <v>506</v>
      </c>
      <c r="J18" s="2" t="s">
        <v>506</v>
      </c>
      <c r="P18" s="2">
        <v>2</v>
      </c>
      <c r="Q18" s="2">
        <v>1</v>
      </c>
      <c r="R18" s="2">
        <v>2</v>
      </c>
      <c r="S18" s="2">
        <v>2</v>
      </c>
      <c r="T18" s="2" t="s">
        <v>506</v>
      </c>
      <c r="U18" s="1">
        <v>330</v>
      </c>
      <c r="V18" s="1">
        <v>340</v>
      </c>
      <c r="W18" s="1">
        <v>380</v>
      </c>
      <c r="X18" s="1">
        <v>390</v>
      </c>
      <c r="Y18" s="2">
        <v>4</v>
      </c>
      <c r="Z18" s="2">
        <v>5</v>
      </c>
      <c r="AA18" s="2">
        <v>4</v>
      </c>
      <c r="AB18" s="2">
        <v>4</v>
      </c>
      <c r="AC18" s="2">
        <v>32</v>
      </c>
      <c r="AD18" s="2">
        <v>1</v>
      </c>
      <c r="AE18" s="2">
        <v>1</v>
      </c>
      <c r="AF18" s="2">
        <v>1</v>
      </c>
      <c r="AG18" s="2">
        <v>2</v>
      </c>
      <c r="AH18" s="2">
        <v>1</v>
      </c>
      <c r="AI18" s="2">
        <v>-1.5</v>
      </c>
      <c r="AJ18" s="2">
        <v>11.2</v>
      </c>
      <c r="AK18" s="2">
        <v>2</v>
      </c>
      <c r="AL18" s="2">
        <v>2</v>
      </c>
      <c r="AM18" s="2" t="s">
        <v>148</v>
      </c>
      <c r="AN18" s="2">
        <v>2.4500000000000002</v>
      </c>
      <c r="AO18" s="2">
        <v>2.36</v>
      </c>
    </row>
    <row r="19" spans="6:41" x14ac:dyDescent="0.55000000000000004">
      <c r="F19" s="2">
        <v>1</v>
      </c>
      <c r="G19" s="2">
        <v>0</v>
      </c>
      <c r="H19" s="2" t="s">
        <v>506</v>
      </c>
      <c r="I19" s="2" t="s">
        <v>506</v>
      </c>
      <c r="J19" s="2" t="s">
        <v>506</v>
      </c>
      <c r="P19" s="2">
        <v>1</v>
      </c>
      <c r="Q19" s="2">
        <v>1</v>
      </c>
      <c r="R19" s="2">
        <v>1</v>
      </c>
      <c r="S19" s="2">
        <v>1</v>
      </c>
      <c r="T19" s="2">
        <v>1</v>
      </c>
      <c r="U19" s="1">
        <v>335</v>
      </c>
      <c r="V19" s="1">
        <v>385</v>
      </c>
      <c r="W19" s="1">
        <v>360</v>
      </c>
      <c r="X19" s="1">
        <v>370</v>
      </c>
      <c r="Y19" s="2">
        <v>5</v>
      </c>
      <c r="Z19" s="2">
        <v>5</v>
      </c>
      <c r="AA19" s="2">
        <v>5</v>
      </c>
      <c r="AB19" s="2">
        <v>5</v>
      </c>
      <c r="AC19" s="2">
        <v>43</v>
      </c>
      <c r="AD19" s="2">
        <v>4</v>
      </c>
      <c r="AE19" s="2">
        <v>3</v>
      </c>
      <c r="AF19" s="2">
        <v>2</v>
      </c>
      <c r="AG19" s="2">
        <v>2</v>
      </c>
      <c r="AH19" s="2">
        <v>2</v>
      </c>
      <c r="AI19" s="2">
        <v>8.3000000000000007</v>
      </c>
      <c r="AJ19" s="2">
        <v>20</v>
      </c>
      <c r="AK19" s="2">
        <v>3</v>
      </c>
      <c r="AL19" s="2">
        <v>2</v>
      </c>
      <c r="AM19" s="2" t="s">
        <v>148</v>
      </c>
      <c r="AN19" s="2">
        <v>1.85</v>
      </c>
      <c r="AO19" s="2">
        <v>1.9</v>
      </c>
    </row>
    <row r="20" spans="6:41" x14ac:dyDescent="0.55000000000000004">
      <c r="F20" s="2">
        <v>1</v>
      </c>
      <c r="G20" s="2">
        <v>0</v>
      </c>
      <c r="H20" s="2">
        <v>0</v>
      </c>
      <c r="I20" s="2">
        <v>0</v>
      </c>
      <c r="J20" s="2" t="s">
        <v>506</v>
      </c>
      <c r="P20" s="2">
        <v>3</v>
      </c>
      <c r="Q20" s="2">
        <v>3</v>
      </c>
      <c r="R20" s="2">
        <v>3</v>
      </c>
      <c r="S20" s="2">
        <v>2</v>
      </c>
      <c r="T20" s="2" t="s">
        <v>506</v>
      </c>
      <c r="U20" s="1">
        <v>400</v>
      </c>
      <c r="V20" s="1">
        <v>420</v>
      </c>
      <c r="W20" s="1">
        <v>425</v>
      </c>
      <c r="X20" s="1">
        <v>420</v>
      </c>
      <c r="Y20" s="2">
        <v>5</v>
      </c>
      <c r="Z20" s="2">
        <v>5</v>
      </c>
      <c r="AA20" s="2">
        <v>4</v>
      </c>
      <c r="AB20" s="2">
        <v>4</v>
      </c>
      <c r="AC20" s="2">
        <v>30</v>
      </c>
      <c r="AD20" s="2">
        <v>2</v>
      </c>
      <c r="AE20" s="2">
        <v>2</v>
      </c>
      <c r="AF20" s="2">
        <v>2</v>
      </c>
      <c r="AG20" s="2">
        <v>2</v>
      </c>
      <c r="AH20" s="2">
        <v>1</v>
      </c>
      <c r="AI20" s="2">
        <v>1.4</v>
      </c>
      <c r="AJ20" s="2">
        <v>9</v>
      </c>
      <c r="AK20" s="2">
        <v>4</v>
      </c>
      <c r="AL20" s="2">
        <v>2</v>
      </c>
      <c r="AM20" s="2" t="s">
        <v>148</v>
      </c>
      <c r="AN20" s="2">
        <v>0.89</v>
      </c>
      <c r="AO20" s="2">
        <v>0.95</v>
      </c>
    </row>
    <row r="21" spans="6:41" x14ac:dyDescent="0.55000000000000004">
      <c r="F21" s="2">
        <v>1</v>
      </c>
      <c r="G21" s="2">
        <v>1</v>
      </c>
      <c r="H21" s="2">
        <v>1</v>
      </c>
      <c r="I21" s="2">
        <v>1</v>
      </c>
      <c r="J21" s="2">
        <v>0</v>
      </c>
      <c r="P21" s="2">
        <v>2</v>
      </c>
      <c r="Q21" s="2">
        <v>2</v>
      </c>
      <c r="R21" s="2">
        <v>2</v>
      </c>
      <c r="S21" s="2">
        <v>3</v>
      </c>
      <c r="T21" s="2" t="s">
        <v>506</v>
      </c>
      <c r="U21" s="1">
        <v>430</v>
      </c>
      <c r="V21" s="1">
        <v>460</v>
      </c>
      <c r="W21" s="1">
        <v>480</v>
      </c>
      <c r="X21" s="1">
        <v>470</v>
      </c>
      <c r="Y21" s="2">
        <v>4</v>
      </c>
      <c r="Z21" s="2">
        <v>4</v>
      </c>
      <c r="AA21" s="2">
        <v>4</v>
      </c>
      <c r="AB21" s="2">
        <v>4</v>
      </c>
      <c r="AC21" s="2">
        <v>45</v>
      </c>
      <c r="AD21" s="2">
        <v>2</v>
      </c>
      <c r="AE21" s="2">
        <v>2</v>
      </c>
      <c r="AF21" s="2">
        <v>2</v>
      </c>
      <c r="AG21" s="2">
        <v>2</v>
      </c>
      <c r="AH21" s="2">
        <v>2</v>
      </c>
      <c r="AI21" s="2">
        <v>6.5</v>
      </c>
      <c r="AJ21" s="2">
        <v>14.2</v>
      </c>
      <c r="AK21" s="2">
        <v>5</v>
      </c>
      <c r="AL21" s="2">
        <v>2</v>
      </c>
      <c r="AM21" s="2" t="s">
        <v>148</v>
      </c>
      <c r="AN21" s="2">
        <v>0.82</v>
      </c>
      <c r="AO21" s="2">
        <v>0.77</v>
      </c>
    </row>
    <row r="22" spans="6:41" x14ac:dyDescent="0.55000000000000004">
      <c r="F22" s="2">
        <v>1</v>
      </c>
      <c r="G22" s="2">
        <v>1</v>
      </c>
      <c r="H22" s="2">
        <v>0</v>
      </c>
      <c r="I22" s="2" t="s">
        <v>506</v>
      </c>
      <c r="J22" s="2" t="s">
        <v>506</v>
      </c>
      <c r="Y22" s="2">
        <v>4</v>
      </c>
      <c r="Z22" s="2">
        <v>4</v>
      </c>
      <c r="AA22" s="2">
        <v>4</v>
      </c>
      <c r="AB22" s="2">
        <v>4</v>
      </c>
      <c r="AC22" s="2">
        <v>31</v>
      </c>
      <c r="AD22" s="2">
        <v>2</v>
      </c>
      <c r="AE22" s="2">
        <v>2</v>
      </c>
      <c r="AF22" s="2">
        <v>2</v>
      </c>
      <c r="AG22" s="2">
        <v>2</v>
      </c>
      <c r="AH22" s="2">
        <v>1</v>
      </c>
      <c r="AI22" s="2">
        <v>-0.4</v>
      </c>
      <c r="AJ22" s="2">
        <v>9</v>
      </c>
      <c r="AK22" s="2">
        <v>1</v>
      </c>
      <c r="AL22" s="2">
        <v>2</v>
      </c>
      <c r="AM22" s="2" t="s">
        <v>118</v>
      </c>
      <c r="AN22" s="2">
        <v>1.01</v>
      </c>
      <c r="AO22" s="2">
        <v>0.82</v>
      </c>
    </row>
    <row r="23" spans="6:41" x14ac:dyDescent="0.55000000000000004">
      <c r="F23" s="2">
        <v>0</v>
      </c>
      <c r="G23" s="2">
        <v>0</v>
      </c>
      <c r="H23" s="2">
        <v>0</v>
      </c>
      <c r="I23" s="2">
        <v>0</v>
      </c>
      <c r="J23" s="2" t="s">
        <v>506</v>
      </c>
      <c r="Y23" s="2">
        <v>4</v>
      </c>
      <c r="Z23" s="2">
        <v>4</v>
      </c>
      <c r="AA23" s="2">
        <v>4</v>
      </c>
      <c r="AB23" s="2">
        <v>4</v>
      </c>
      <c r="AC23" s="2">
        <v>44</v>
      </c>
      <c r="AD23" s="2">
        <v>2</v>
      </c>
      <c r="AE23" s="2">
        <v>2</v>
      </c>
      <c r="AF23" s="2">
        <v>2</v>
      </c>
      <c r="AG23" s="2">
        <v>2</v>
      </c>
      <c r="AH23" s="2">
        <v>2</v>
      </c>
      <c r="AI23" s="2">
        <v>3.7</v>
      </c>
      <c r="AJ23" s="2">
        <v>3</v>
      </c>
      <c r="AK23" s="2">
        <v>2</v>
      </c>
      <c r="AL23" s="2">
        <v>2</v>
      </c>
      <c r="AM23" s="2" t="s">
        <v>118</v>
      </c>
      <c r="AN23" s="2">
        <v>0.96</v>
      </c>
      <c r="AO23" s="2">
        <v>0.88</v>
      </c>
    </row>
    <row r="24" spans="6:41" x14ac:dyDescent="0.55000000000000004">
      <c r="F24" s="2">
        <v>0</v>
      </c>
      <c r="G24" s="2">
        <v>0</v>
      </c>
      <c r="H24" s="2">
        <v>0</v>
      </c>
      <c r="I24" s="2" t="s">
        <v>506</v>
      </c>
      <c r="J24" s="2" t="s">
        <v>506</v>
      </c>
      <c r="Y24" s="2">
        <v>3</v>
      </c>
      <c r="Z24" s="2">
        <v>4</v>
      </c>
      <c r="AA24" s="2">
        <v>5</v>
      </c>
      <c r="AB24" s="2">
        <v>5</v>
      </c>
      <c r="AC24" s="2">
        <v>42</v>
      </c>
      <c r="AD24" s="2">
        <v>3</v>
      </c>
      <c r="AE24" s="2">
        <v>3</v>
      </c>
      <c r="AF24" s="2">
        <v>2</v>
      </c>
      <c r="AG24" s="2">
        <v>2</v>
      </c>
      <c r="AH24" s="2">
        <v>2</v>
      </c>
      <c r="AI24" s="2">
        <v>4.2</v>
      </c>
      <c r="AJ24" s="2">
        <v>4.5</v>
      </c>
      <c r="AK24" s="2">
        <v>3</v>
      </c>
      <c r="AL24" s="2">
        <v>2</v>
      </c>
      <c r="AM24" s="2" t="s">
        <v>118</v>
      </c>
      <c r="AN24" s="2">
        <v>3.38</v>
      </c>
      <c r="AO24" s="2">
        <v>3.42</v>
      </c>
    </row>
    <row r="25" spans="6:41" x14ac:dyDescent="0.55000000000000004">
      <c r="F25" s="2">
        <v>1</v>
      </c>
      <c r="G25" s="2">
        <v>1</v>
      </c>
      <c r="H25" s="2">
        <v>1</v>
      </c>
      <c r="I25" s="2" t="s">
        <v>506</v>
      </c>
      <c r="J25" s="2" t="s">
        <v>506</v>
      </c>
      <c r="Y25" s="2">
        <v>5</v>
      </c>
      <c r="Z25" s="2">
        <v>3</v>
      </c>
      <c r="AA25" s="2">
        <v>5</v>
      </c>
      <c r="AB25" s="2">
        <v>5</v>
      </c>
      <c r="AJ25" s="2">
        <v>12.5</v>
      </c>
      <c r="AK25" s="2">
        <v>4</v>
      </c>
      <c r="AL25" s="2">
        <v>2</v>
      </c>
      <c r="AM25" s="2" t="s">
        <v>118</v>
      </c>
      <c r="AN25" s="2">
        <v>1.31</v>
      </c>
      <c r="AO25" s="2">
        <v>1.1499999999999999</v>
      </c>
    </row>
    <row r="26" spans="6:41" x14ac:dyDescent="0.55000000000000004">
      <c r="F26" s="2">
        <v>1</v>
      </c>
      <c r="G26" s="2">
        <v>1</v>
      </c>
      <c r="H26" s="2" t="s">
        <v>506</v>
      </c>
      <c r="I26" s="2" t="s">
        <v>506</v>
      </c>
      <c r="J26" s="2" t="s">
        <v>506</v>
      </c>
      <c r="Y26" s="2">
        <v>5</v>
      </c>
      <c r="Z26" s="2">
        <v>5</v>
      </c>
      <c r="AA26" s="2">
        <v>3</v>
      </c>
      <c r="AB26" s="2">
        <v>3</v>
      </c>
      <c r="AJ26" s="2">
        <v>6</v>
      </c>
      <c r="AK26" s="2">
        <v>5</v>
      </c>
      <c r="AL26" s="2">
        <v>2</v>
      </c>
      <c r="AM26" s="2" t="s">
        <v>118</v>
      </c>
      <c r="AN26" s="2">
        <v>1.1000000000000001</v>
      </c>
      <c r="AO26" s="2">
        <v>0.96</v>
      </c>
    </row>
    <row r="27" spans="6:41" x14ac:dyDescent="0.55000000000000004">
      <c r="Y27" s="2">
        <v>3</v>
      </c>
      <c r="Z27" s="2">
        <v>3</v>
      </c>
      <c r="AA27" s="2">
        <v>4</v>
      </c>
      <c r="AB27" s="2">
        <v>4</v>
      </c>
      <c r="AJ27" s="2">
        <v>6.5</v>
      </c>
      <c r="AK27" s="2">
        <v>1</v>
      </c>
      <c r="AL27" s="2">
        <v>2</v>
      </c>
      <c r="AM27" s="2" t="s">
        <v>342</v>
      </c>
      <c r="AN27" s="2">
        <v>1.26</v>
      </c>
      <c r="AO27" s="2">
        <v>1.1200000000000001</v>
      </c>
    </row>
    <row r="28" spans="6:41" x14ac:dyDescent="0.55000000000000004">
      <c r="Y28" s="2">
        <v>4</v>
      </c>
      <c r="Z28" s="2">
        <v>4</v>
      </c>
      <c r="AA28" s="2">
        <v>4</v>
      </c>
      <c r="AB28" s="2">
        <v>4</v>
      </c>
      <c r="AJ28" s="2">
        <v>11.5</v>
      </c>
      <c r="AK28" s="2">
        <v>2</v>
      </c>
      <c r="AL28" s="2">
        <v>2</v>
      </c>
      <c r="AM28" s="2" t="s">
        <v>342</v>
      </c>
      <c r="AN28" s="2">
        <v>1.1499999999999999</v>
      </c>
      <c r="AO28" s="2">
        <v>1.02</v>
      </c>
    </row>
    <row r="29" spans="6:41" x14ac:dyDescent="0.55000000000000004">
      <c r="Y29" s="2">
        <v>3</v>
      </c>
      <c r="Z29" s="2">
        <v>3</v>
      </c>
      <c r="AA29" s="2">
        <v>5</v>
      </c>
      <c r="AB29" s="2">
        <v>5</v>
      </c>
      <c r="AJ29" s="2">
        <v>15</v>
      </c>
      <c r="AK29" s="2">
        <v>3</v>
      </c>
      <c r="AL29" s="2">
        <v>2</v>
      </c>
      <c r="AM29" s="2" t="s">
        <v>342</v>
      </c>
      <c r="AN29" s="2">
        <v>1.2</v>
      </c>
      <c r="AO29" s="2">
        <v>1.29</v>
      </c>
    </row>
    <row r="30" spans="6:41" x14ac:dyDescent="0.55000000000000004">
      <c r="Y30" s="2">
        <v>4</v>
      </c>
      <c r="Z30" s="2">
        <v>4</v>
      </c>
      <c r="AA30" s="2">
        <v>3</v>
      </c>
      <c r="AB30" s="2">
        <v>3</v>
      </c>
      <c r="AJ30" s="2">
        <v>14</v>
      </c>
      <c r="AK30" s="2">
        <v>4</v>
      </c>
      <c r="AL30" s="2">
        <v>2</v>
      </c>
      <c r="AM30" s="2" t="s">
        <v>342</v>
      </c>
      <c r="AN30" s="2">
        <v>1.01</v>
      </c>
      <c r="AO30" s="2">
        <v>0.87</v>
      </c>
    </row>
    <row r="31" spans="6:41" x14ac:dyDescent="0.55000000000000004">
      <c r="Y31" s="2">
        <v>4</v>
      </c>
      <c r="Z31" s="2">
        <v>4</v>
      </c>
      <c r="AA31" s="2">
        <v>5</v>
      </c>
      <c r="AB31" s="2">
        <v>5</v>
      </c>
      <c r="AJ31" s="2">
        <v>8</v>
      </c>
      <c r="AK31" s="2">
        <v>5</v>
      </c>
      <c r="AL31" s="2">
        <v>2</v>
      </c>
      <c r="AM31" s="2" t="s">
        <v>342</v>
      </c>
      <c r="AN31" s="2">
        <v>1.33</v>
      </c>
      <c r="AO31" s="2">
        <v>1.1299999999999999</v>
      </c>
    </row>
    <row r="32" spans="6:41" x14ac:dyDescent="0.55000000000000004">
      <c r="Y32" s="2">
        <v>4</v>
      </c>
      <c r="Z32" s="2">
        <v>4</v>
      </c>
      <c r="AA32" s="2">
        <v>5</v>
      </c>
      <c r="AB32" s="2">
        <v>5</v>
      </c>
      <c r="AJ32" s="2">
        <v>8.1999999999999993</v>
      </c>
      <c r="AK32" s="2">
        <v>1</v>
      </c>
      <c r="AL32" s="2">
        <v>3</v>
      </c>
      <c r="AM32" s="2" t="s">
        <v>148</v>
      </c>
      <c r="AN32" s="2">
        <v>0.87</v>
      </c>
      <c r="AO32" s="2">
        <v>0.82</v>
      </c>
    </row>
    <row r="33" spans="25:41" x14ac:dyDescent="0.55000000000000004">
      <c r="Y33" s="2">
        <v>4</v>
      </c>
      <c r="Z33" s="2">
        <v>5</v>
      </c>
      <c r="AA33" s="2">
        <v>5</v>
      </c>
      <c r="AB33" s="2">
        <v>5</v>
      </c>
      <c r="AJ33" s="2">
        <v>9.5</v>
      </c>
      <c r="AK33" s="2">
        <v>2</v>
      </c>
      <c r="AL33" s="2">
        <v>3</v>
      </c>
      <c r="AM33" s="2" t="s">
        <v>148</v>
      </c>
      <c r="AN33" s="2">
        <v>1.66</v>
      </c>
      <c r="AO33" s="2">
        <v>1.33</v>
      </c>
    </row>
    <row r="34" spans="25:41" x14ac:dyDescent="0.55000000000000004">
      <c r="Y34" s="2">
        <v>4</v>
      </c>
      <c r="Z34" s="2">
        <v>4</v>
      </c>
      <c r="AA34" s="2">
        <v>5</v>
      </c>
      <c r="AB34" s="2">
        <v>5</v>
      </c>
      <c r="AJ34" s="2">
        <v>21.4</v>
      </c>
      <c r="AK34" s="2">
        <v>3</v>
      </c>
      <c r="AL34" s="2">
        <v>3</v>
      </c>
      <c r="AM34" s="2" t="s">
        <v>148</v>
      </c>
      <c r="AN34" s="2">
        <v>1.41</v>
      </c>
      <c r="AO34" s="2">
        <v>1.1399999999999999</v>
      </c>
    </row>
    <row r="35" spans="25:41" x14ac:dyDescent="0.55000000000000004">
      <c r="Y35" s="2">
        <v>4</v>
      </c>
      <c r="Z35" s="2">
        <v>5</v>
      </c>
      <c r="AA35" s="2">
        <v>5</v>
      </c>
      <c r="AB35" s="2">
        <v>5</v>
      </c>
      <c r="AJ35" s="2">
        <v>9.5</v>
      </c>
      <c r="AK35" s="2">
        <v>4</v>
      </c>
      <c r="AL35" s="2">
        <v>3</v>
      </c>
      <c r="AM35" s="2" t="s">
        <v>148</v>
      </c>
      <c r="AN35" s="2">
        <v>1.08</v>
      </c>
      <c r="AO35" s="2">
        <v>0.93</v>
      </c>
    </row>
    <row r="36" spans="25:41" x14ac:dyDescent="0.55000000000000004">
      <c r="Y36" s="2">
        <v>4</v>
      </c>
      <c r="Z36" s="2">
        <v>4</v>
      </c>
      <c r="AA36" s="2">
        <v>5</v>
      </c>
      <c r="AB36" s="2">
        <v>5</v>
      </c>
      <c r="AJ36" s="2">
        <v>14.5</v>
      </c>
      <c r="AK36" s="2">
        <v>5</v>
      </c>
      <c r="AL36" s="2">
        <v>3</v>
      </c>
      <c r="AM36" s="2" t="s">
        <v>148</v>
      </c>
      <c r="AN36" s="2">
        <v>1.17</v>
      </c>
      <c r="AO36" s="2">
        <v>1.0900000000000001</v>
      </c>
    </row>
    <row r="37" spans="25:41" x14ac:dyDescent="0.55000000000000004">
      <c r="Y37" s="2">
        <v>3</v>
      </c>
      <c r="Z37" s="2">
        <v>3</v>
      </c>
      <c r="AA37" s="2">
        <v>4</v>
      </c>
      <c r="AB37" s="2">
        <v>4</v>
      </c>
      <c r="AJ37" s="2">
        <v>9</v>
      </c>
      <c r="AK37" s="2">
        <v>1</v>
      </c>
      <c r="AL37" s="2">
        <v>3</v>
      </c>
      <c r="AM37" s="2" t="s">
        <v>118</v>
      </c>
      <c r="AN37" s="2">
        <v>1.77</v>
      </c>
      <c r="AO37" s="2">
        <v>1.89</v>
      </c>
    </row>
    <row r="38" spans="25:41" x14ac:dyDescent="0.55000000000000004">
      <c r="Y38" s="2">
        <v>4</v>
      </c>
      <c r="Z38" s="2">
        <v>3</v>
      </c>
      <c r="AA38" s="2">
        <v>5</v>
      </c>
      <c r="AB38" s="2">
        <v>4</v>
      </c>
      <c r="AJ38" s="2">
        <v>2.8</v>
      </c>
      <c r="AK38" s="2">
        <v>2</v>
      </c>
      <c r="AL38" s="2">
        <v>3</v>
      </c>
      <c r="AM38" s="2" t="s">
        <v>118</v>
      </c>
      <c r="AN38" s="2">
        <v>1.33</v>
      </c>
      <c r="AO38" s="2">
        <v>1.57</v>
      </c>
    </row>
    <row r="39" spans="25:41" x14ac:dyDescent="0.55000000000000004">
      <c r="Y39" s="2">
        <v>3</v>
      </c>
      <c r="Z39" s="2">
        <v>4</v>
      </c>
      <c r="AA39" s="2">
        <v>5</v>
      </c>
      <c r="AB39" s="2">
        <v>5</v>
      </c>
      <c r="AJ39" s="2">
        <v>4.5</v>
      </c>
      <c r="AK39" s="2">
        <v>3</v>
      </c>
      <c r="AL39" s="2">
        <v>3</v>
      </c>
      <c r="AM39" s="2" t="s">
        <v>118</v>
      </c>
      <c r="AN39" s="2">
        <v>1.23</v>
      </c>
      <c r="AO39" s="2">
        <v>1.29</v>
      </c>
    </row>
    <row r="40" spans="25:41" x14ac:dyDescent="0.55000000000000004">
      <c r="Y40" s="2">
        <v>4</v>
      </c>
      <c r="Z40" s="2">
        <v>4</v>
      </c>
      <c r="AA40" s="2">
        <v>5</v>
      </c>
      <c r="AB40" s="2">
        <v>4</v>
      </c>
      <c r="AJ40" s="2">
        <v>13.5</v>
      </c>
      <c r="AK40" s="2">
        <v>4</v>
      </c>
      <c r="AL40" s="2">
        <v>3</v>
      </c>
      <c r="AM40" s="2" t="s">
        <v>118</v>
      </c>
      <c r="AN40" s="2">
        <v>1.21</v>
      </c>
      <c r="AO40" s="2">
        <v>1.1299999999999999</v>
      </c>
    </row>
    <row r="41" spans="25:41" x14ac:dyDescent="0.55000000000000004">
      <c r="Y41" s="2">
        <v>3</v>
      </c>
      <c r="Z41" s="2">
        <v>4</v>
      </c>
      <c r="AA41" s="2">
        <v>4</v>
      </c>
      <c r="AB41" s="2">
        <v>4</v>
      </c>
      <c r="AJ41" s="2">
        <v>5.5</v>
      </c>
      <c r="AK41" s="2">
        <v>5</v>
      </c>
      <c r="AL41" s="2">
        <v>3</v>
      </c>
      <c r="AM41" s="2" t="s">
        <v>118</v>
      </c>
      <c r="AN41" s="2">
        <v>1.2</v>
      </c>
      <c r="AO41" s="2">
        <v>1.1100000000000001</v>
      </c>
    </row>
    <row r="42" spans="25:41" x14ac:dyDescent="0.55000000000000004">
      <c r="Y42" s="2">
        <v>4</v>
      </c>
      <c r="Z42" s="2">
        <v>5</v>
      </c>
      <c r="AA42" s="2">
        <v>5</v>
      </c>
      <c r="AB42" s="2">
        <v>5</v>
      </c>
      <c r="AJ42" s="2">
        <v>6.5</v>
      </c>
      <c r="AK42" s="2">
        <v>1</v>
      </c>
      <c r="AL42" s="2">
        <v>3</v>
      </c>
      <c r="AM42" s="2" t="s">
        <v>342</v>
      </c>
      <c r="AN42" s="2">
        <v>1.49</v>
      </c>
      <c r="AO42" s="2">
        <v>1.61</v>
      </c>
    </row>
    <row r="43" spans="25:41" x14ac:dyDescent="0.55000000000000004">
      <c r="Y43" s="2">
        <v>5</v>
      </c>
      <c r="Z43" s="2">
        <v>5</v>
      </c>
      <c r="AA43" s="2">
        <v>5</v>
      </c>
      <c r="AB43" s="2">
        <v>5</v>
      </c>
      <c r="AJ43" s="2">
        <v>12.5</v>
      </c>
      <c r="AK43" s="2">
        <v>2</v>
      </c>
      <c r="AL43" s="2">
        <v>3</v>
      </c>
      <c r="AM43" s="2" t="s">
        <v>342</v>
      </c>
      <c r="AN43" s="2">
        <v>0.89</v>
      </c>
      <c r="AO43" s="2">
        <v>0.79</v>
      </c>
    </row>
    <row r="44" spans="25:41" x14ac:dyDescent="0.55000000000000004">
      <c r="Y44" s="2">
        <v>4</v>
      </c>
      <c r="Z44" s="2">
        <v>4</v>
      </c>
      <c r="AA44" s="2">
        <v>5</v>
      </c>
      <c r="AB44" s="2">
        <v>5</v>
      </c>
      <c r="AJ44" s="2">
        <v>17</v>
      </c>
      <c r="AK44" s="2">
        <v>3</v>
      </c>
      <c r="AL44" s="2">
        <v>3</v>
      </c>
      <c r="AM44" s="2" t="s">
        <v>342</v>
      </c>
      <c r="AN44" s="2">
        <v>1.0900000000000001</v>
      </c>
      <c r="AO44" s="2">
        <v>1.19</v>
      </c>
    </row>
    <row r="45" spans="25:41" x14ac:dyDescent="0.55000000000000004">
      <c r="Y45" s="2">
        <v>4</v>
      </c>
      <c r="Z45" s="2">
        <v>4</v>
      </c>
      <c r="AA45" s="2">
        <v>4</v>
      </c>
      <c r="AB45" s="2">
        <v>4</v>
      </c>
      <c r="AJ45" s="2">
        <v>14.4</v>
      </c>
      <c r="AK45" s="2">
        <v>4</v>
      </c>
      <c r="AL45" s="2">
        <v>3</v>
      </c>
      <c r="AM45" s="2" t="s">
        <v>342</v>
      </c>
      <c r="AN45" s="2">
        <v>1.03</v>
      </c>
      <c r="AO45" s="2">
        <v>0.96</v>
      </c>
    </row>
    <row r="46" spans="25:41" x14ac:dyDescent="0.55000000000000004">
      <c r="Y46" s="2">
        <v>4</v>
      </c>
      <c r="Z46" s="2">
        <v>4</v>
      </c>
      <c r="AA46" s="2">
        <v>5</v>
      </c>
      <c r="AB46" s="2">
        <v>5</v>
      </c>
      <c r="AJ46" s="2">
        <v>9.1999999999999993</v>
      </c>
      <c r="AK46" s="2">
        <v>5</v>
      </c>
      <c r="AL46" s="2">
        <v>3</v>
      </c>
      <c r="AM46" s="2" t="s">
        <v>342</v>
      </c>
      <c r="AN46" s="2">
        <v>1.07</v>
      </c>
      <c r="AO46" s="2">
        <v>1.25</v>
      </c>
    </row>
    <row r="47" spans="25:41" x14ac:dyDescent="0.55000000000000004">
      <c r="Y47" s="2">
        <v>3</v>
      </c>
      <c r="Z47" s="2">
        <v>4</v>
      </c>
      <c r="AA47" s="2">
        <v>4</v>
      </c>
      <c r="AB47" s="2">
        <v>4</v>
      </c>
      <c r="AN47" s="2">
        <v>0.89</v>
      </c>
      <c r="AO47" s="2">
        <v>0.87</v>
      </c>
    </row>
    <row r="48" spans="25:41" x14ac:dyDescent="0.55000000000000004">
      <c r="Y48" s="2">
        <v>5</v>
      </c>
      <c r="Z48" s="2">
        <v>5</v>
      </c>
      <c r="AA48" s="2">
        <v>5</v>
      </c>
      <c r="AB48" s="2">
        <v>5</v>
      </c>
      <c r="AN48" s="2">
        <v>1.39</v>
      </c>
      <c r="AO48" s="2">
        <v>1.36</v>
      </c>
    </row>
    <row r="49" spans="25:41" x14ac:dyDescent="0.55000000000000004">
      <c r="Y49" s="2">
        <v>4</v>
      </c>
      <c r="Z49" s="2">
        <v>5</v>
      </c>
      <c r="AA49" s="2">
        <v>4</v>
      </c>
      <c r="AB49" s="2">
        <v>4</v>
      </c>
      <c r="AN49" s="2">
        <v>0.96</v>
      </c>
      <c r="AO49" s="2">
        <v>0.86</v>
      </c>
    </row>
    <row r="50" spans="25:41" x14ac:dyDescent="0.55000000000000004">
      <c r="Y50" s="2">
        <v>3</v>
      </c>
      <c r="Z50" s="2">
        <v>4</v>
      </c>
      <c r="AA50" s="2">
        <v>4</v>
      </c>
      <c r="AB50" s="2">
        <v>4</v>
      </c>
      <c r="AN50" s="2">
        <v>1.06</v>
      </c>
      <c r="AO50" s="2">
        <v>1.03</v>
      </c>
    </row>
    <row r="51" spans="25:41" x14ac:dyDescent="0.55000000000000004">
      <c r="Y51" s="2">
        <v>5</v>
      </c>
      <c r="Z51" s="2">
        <v>3</v>
      </c>
      <c r="AA51" s="2">
        <v>4</v>
      </c>
      <c r="AB51" s="2">
        <v>4</v>
      </c>
      <c r="AN51" s="2">
        <v>1.17</v>
      </c>
      <c r="AO51" s="2">
        <v>0.86</v>
      </c>
    </row>
    <row r="52" spans="25:41" x14ac:dyDescent="0.55000000000000004">
      <c r="Y52" s="2">
        <v>5</v>
      </c>
      <c r="Z52" s="2">
        <v>3</v>
      </c>
      <c r="AA52" s="2">
        <v>4</v>
      </c>
      <c r="AB52" s="2">
        <v>4</v>
      </c>
      <c r="AN52" s="2">
        <v>0.9</v>
      </c>
      <c r="AO52" s="2">
        <v>0.8</v>
      </c>
    </row>
    <row r="53" spans="25:41" x14ac:dyDescent="0.55000000000000004">
      <c r="Y53" s="2">
        <v>4</v>
      </c>
      <c r="Z53" s="2">
        <v>5</v>
      </c>
      <c r="AA53" s="2">
        <v>4</v>
      </c>
      <c r="AB53" s="2">
        <v>4</v>
      </c>
      <c r="AN53" s="2">
        <v>1.39</v>
      </c>
      <c r="AO53" s="2">
        <v>1.22</v>
      </c>
    </row>
    <row r="54" spans="25:41" x14ac:dyDescent="0.55000000000000004">
      <c r="Y54" s="2">
        <v>2</v>
      </c>
      <c r="Z54" s="2">
        <v>5</v>
      </c>
      <c r="AA54" s="2">
        <v>5</v>
      </c>
      <c r="AB54" s="2">
        <v>5</v>
      </c>
      <c r="AN54" s="2">
        <v>0.91</v>
      </c>
      <c r="AO54" s="2">
        <v>0.86</v>
      </c>
    </row>
    <row r="55" spans="25:41" x14ac:dyDescent="0.55000000000000004">
      <c r="Y55" s="2">
        <v>3</v>
      </c>
      <c r="Z55" s="2">
        <v>4</v>
      </c>
      <c r="AA55" s="2">
        <v>5</v>
      </c>
      <c r="AB55" s="2">
        <v>5</v>
      </c>
      <c r="AN55" s="2">
        <v>2.2799999999999998</v>
      </c>
      <c r="AO55" s="2">
        <v>2.25</v>
      </c>
    </row>
    <row r="56" spans="25:41" x14ac:dyDescent="0.55000000000000004">
      <c r="Y56" s="2">
        <v>4</v>
      </c>
      <c r="Z56" s="2">
        <v>3</v>
      </c>
      <c r="AA56" s="2">
        <v>5</v>
      </c>
      <c r="AB56" s="2">
        <v>5</v>
      </c>
      <c r="AN56" s="2">
        <v>0.9</v>
      </c>
      <c r="AO56" s="2">
        <v>0.87</v>
      </c>
    </row>
    <row r="57" spans="25:41" x14ac:dyDescent="0.55000000000000004">
      <c r="Y57" s="2">
        <v>4</v>
      </c>
      <c r="Z57" s="2">
        <v>4</v>
      </c>
      <c r="AA57" s="2">
        <v>4</v>
      </c>
      <c r="AB57" s="2">
        <v>4</v>
      </c>
      <c r="AN57" s="2">
        <v>1.34</v>
      </c>
      <c r="AO57" s="2">
        <v>1.3</v>
      </c>
    </row>
    <row r="58" spans="25:41" x14ac:dyDescent="0.55000000000000004">
      <c r="Y58" s="2">
        <v>4</v>
      </c>
      <c r="Z58" s="2">
        <v>4</v>
      </c>
      <c r="AA58" s="2">
        <v>5</v>
      </c>
      <c r="AB58" s="2">
        <v>5</v>
      </c>
      <c r="AN58" s="2">
        <v>1.32</v>
      </c>
      <c r="AO58" s="2">
        <v>1.04</v>
      </c>
    </row>
    <row r="59" spans="25:41" x14ac:dyDescent="0.55000000000000004">
      <c r="Y59" s="2">
        <v>3</v>
      </c>
      <c r="Z59" s="2">
        <v>4</v>
      </c>
      <c r="AA59" s="2">
        <v>4</v>
      </c>
      <c r="AB59" s="2">
        <v>4</v>
      </c>
      <c r="AN59" s="2">
        <v>1.02</v>
      </c>
      <c r="AO59" s="2">
        <v>0.92</v>
      </c>
    </row>
    <row r="60" spans="25:41" x14ac:dyDescent="0.55000000000000004">
      <c r="Y60" s="2">
        <v>4</v>
      </c>
      <c r="Z60" s="2">
        <v>4</v>
      </c>
      <c r="AA60" s="2">
        <v>5</v>
      </c>
      <c r="AB60" s="2">
        <v>4</v>
      </c>
      <c r="AN60" s="2">
        <v>1.04</v>
      </c>
      <c r="AO60" s="2">
        <v>1.01</v>
      </c>
    </row>
    <row r="61" spans="25:41" x14ac:dyDescent="0.55000000000000004">
      <c r="Y61" s="2">
        <v>4</v>
      </c>
      <c r="Z61" s="2">
        <v>4</v>
      </c>
      <c r="AA61" s="2">
        <v>5</v>
      </c>
      <c r="AB61" s="2">
        <v>5</v>
      </c>
      <c r="AN61" s="2">
        <v>1.27</v>
      </c>
      <c r="AO61" s="2">
        <v>1.21</v>
      </c>
    </row>
    <row r="62" spans="25:41" x14ac:dyDescent="0.55000000000000004">
      <c r="AN62" s="2">
        <v>1.08</v>
      </c>
      <c r="AO62" s="2">
        <v>1.1100000000000001</v>
      </c>
    </row>
    <row r="63" spans="25:41" x14ac:dyDescent="0.55000000000000004">
      <c r="AN63" s="2">
        <v>1.1000000000000001</v>
      </c>
      <c r="AO63" s="2">
        <v>1.21</v>
      </c>
    </row>
    <row r="64" spans="25:41" x14ac:dyDescent="0.55000000000000004">
      <c r="AN64" s="2">
        <v>1.39</v>
      </c>
      <c r="AO64" s="2">
        <v>1.54</v>
      </c>
    </row>
    <row r="65" spans="40:41" x14ac:dyDescent="0.55000000000000004">
      <c r="AN65" s="2">
        <v>1.07</v>
      </c>
      <c r="AO65" s="2">
        <v>0.99</v>
      </c>
    </row>
    <row r="66" spans="40:41" x14ac:dyDescent="0.55000000000000004">
      <c r="AN66" s="2">
        <v>0.79</v>
      </c>
      <c r="AO66" s="2">
        <v>0.79</v>
      </c>
    </row>
    <row r="67" spans="40:41" x14ac:dyDescent="0.55000000000000004">
      <c r="AN67" s="2">
        <v>1.02</v>
      </c>
      <c r="AO67" s="2">
        <v>1.06</v>
      </c>
    </row>
    <row r="68" spans="40:41" x14ac:dyDescent="0.55000000000000004">
      <c r="AN68" s="2">
        <v>0.94</v>
      </c>
      <c r="AO68" s="2">
        <v>1.02</v>
      </c>
    </row>
    <row r="69" spans="40:41" x14ac:dyDescent="0.55000000000000004">
      <c r="AN69" s="2">
        <v>1.99</v>
      </c>
      <c r="AO69" s="2">
        <v>2.15</v>
      </c>
    </row>
    <row r="70" spans="40:41" x14ac:dyDescent="0.55000000000000004">
      <c r="AN70" s="2">
        <v>0.7</v>
      </c>
      <c r="AO70" s="2">
        <v>0.56000000000000005</v>
      </c>
    </row>
    <row r="71" spans="40:41" x14ac:dyDescent="0.55000000000000004">
      <c r="AN71" s="2">
        <v>0.84</v>
      </c>
      <c r="AO71" s="2">
        <v>1.01</v>
      </c>
    </row>
    <row r="72" spans="40:41" x14ac:dyDescent="0.55000000000000004">
      <c r="AN72" s="2">
        <v>0.66</v>
      </c>
      <c r="AO72" s="2">
        <v>0.59</v>
      </c>
    </row>
    <row r="73" spans="40:41" x14ac:dyDescent="0.55000000000000004">
      <c r="AN73" s="2">
        <v>1.1000000000000001</v>
      </c>
      <c r="AO73" s="2">
        <v>1.17</v>
      </c>
    </row>
    <row r="74" spans="40:41" x14ac:dyDescent="0.55000000000000004">
      <c r="AN74" s="2">
        <v>0.9</v>
      </c>
      <c r="AO74" s="2">
        <v>0.82</v>
      </c>
    </row>
    <row r="75" spans="40:41" x14ac:dyDescent="0.55000000000000004">
      <c r="AN75" s="2">
        <v>2.06</v>
      </c>
      <c r="AO75" s="2">
        <v>2.09</v>
      </c>
    </row>
    <row r="76" spans="40:41" x14ac:dyDescent="0.55000000000000004">
      <c r="AN76" s="2">
        <v>1.31</v>
      </c>
      <c r="AO76" s="2">
        <v>1.44</v>
      </c>
    </row>
    <row r="77" spans="40:41" x14ac:dyDescent="0.55000000000000004">
      <c r="AN77" s="2">
        <v>1.03</v>
      </c>
      <c r="AO77" s="2">
        <v>1.22</v>
      </c>
    </row>
    <row r="78" spans="40:41" x14ac:dyDescent="0.55000000000000004">
      <c r="AN78" s="2">
        <v>1.61</v>
      </c>
      <c r="AO78" s="2">
        <v>1.77</v>
      </c>
    </row>
    <row r="79" spans="40:41" x14ac:dyDescent="0.55000000000000004">
      <c r="AN79" s="2">
        <v>1.52</v>
      </c>
      <c r="AO79" s="2">
        <v>1.6</v>
      </c>
    </row>
    <row r="80" spans="40:41" x14ac:dyDescent="0.55000000000000004">
      <c r="AN80" s="2">
        <v>1.1100000000000001</v>
      </c>
      <c r="AO80" s="2">
        <v>1.1299999999999999</v>
      </c>
    </row>
    <row r="81" spans="40:41" x14ac:dyDescent="0.55000000000000004">
      <c r="AN81" s="2">
        <v>0.85</v>
      </c>
      <c r="AO81" s="2">
        <v>1.06</v>
      </c>
    </row>
    <row r="82" spans="40:41" x14ac:dyDescent="0.55000000000000004">
      <c r="AN82" s="2">
        <v>1.2</v>
      </c>
      <c r="AO82" s="2">
        <v>1.38</v>
      </c>
    </row>
    <row r="83" spans="40:41" x14ac:dyDescent="0.55000000000000004">
      <c r="AN83" s="2">
        <v>1.0900000000000001</v>
      </c>
      <c r="AO83" s="2">
        <v>1.24</v>
      </c>
    </row>
    <row r="84" spans="40:41" x14ac:dyDescent="0.55000000000000004">
      <c r="AN84" s="2">
        <v>1.27</v>
      </c>
      <c r="AO84" s="2">
        <v>1.29</v>
      </c>
    </row>
    <row r="85" spans="40:41" x14ac:dyDescent="0.55000000000000004">
      <c r="AN85" s="2">
        <v>2.06</v>
      </c>
      <c r="AO85" s="2">
        <v>2.08</v>
      </c>
    </row>
    <row r="86" spans="40:41" x14ac:dyDescent="0.55000000000000004">
      <c r="AN86" s="2">
        <v>1.21</v>
      </c>
      <c r="AO86" s="2">
        <v>1.31</v>
      </c>
    </row>
    <row r="87" spans="40:41" x14ac:dyDescent="0.55000000000000004">
      <c r="AN87" s="2">
        <v>0.77</v>
      </c>
      <c r="AO87" s="2">
        <v>0.82</v>
      </c>
    </row>
    <row r="88" spans="40:41" x14ac:dyDescent="0.55000000000000004">
      <c r="AN88" s="2">
        <v>1.06</v>
      </c>
      <c r="AO88" s="2">
        <v>1.28</v>
      </c>
    </row>
    <row r="89" spans="40:41" x14ac:dyDescent="0.55000000000000004">
      <c r="AN89" s="2">
        <v>1.02</v>
      </c>
      <c r="AO89" s="2">
        <v>1.1499999999999999</v>
      </c>
    </row>
    <row r="90" spans="40:41" x14ac:dyDescent="0.55000000000000004">
      <c r="AN90" s="2">
        <v>1</v>
      </c>
      <c r="AO90" s="2">
        <v>1.04</v>
      </c>
    </row>
    <row r="91" spans="40:41" x14ac:dyDescent="0.55000000000000004">
      <c r="AN91" s="2">
        <v>1.47</v>
      </c>
      <c r="AO91" s="2">
        <v>1.51</v>
      </c>
    </row>
    <row r="92" spans="40:41" x14ac:dyDescent="0.55000000000000004">
      <c r="AN92" s="2">
        <v>0.97</v>
      </c>
      <c r="AO92" s="2">
        <v>1.1299999999999999</v>
      </c>
    </row>
    <row r="93" spans="40:41" x14ac:dyDescent="0.55000000000000004">
      <c r="AN93" s="2">
        <v>1.7</v>
      </c>
      <c r="AO93" s="2">
        <v>1.84</v>
      </c>
    </row>
    <row r="94" spans="40:41" x14ac:dyDescent="0.55000000000000004">
      <c r="AN94" s="2">
        <v>1.78</v>
      </c>
      <c r="AO94" s="2">
        <v>1.94</v>
      </c>
    </row>
    <row r="95" spans="40:41" x14ac:dyDescent="0.55000000000000004">
      <c r="AN95" s="2">
        <v>0.93</v>
      </c>
      <c r="AO95" s="2">
        <v>1.32</v>
      </c>
    </row>
    <row r="96" spans="40:41" x14ac:dyDescent="0.55000000000000004">
      <c r="AN96" s="2">
        <v>0.92</v>
      </c>
      <c r="AO96" s="2">
        <v>1.36</v>
      </c>
    </row>
    <row r="97" spans="40:41" x14ac:dyDescent="0.55000000000000004">
      <c r="AN97" s="2">
        <v>1.59</v>
      </c>
      <c r="AO97" s="2">
        <v>1.88</v>
      </c>
    </row>
    <row r="98" spans="40:41" x14ac:dyDescent="0.55000000000000004">
      <c r="AN98" s="2">
        <v>0.68</v>
      </c>
      <c r="AO98" s="2">
        <v>0.73</v>
      </c>
    </row>
    <row r="99" spans="40:41" x14ac:dyDescent="0.55000000000000004">
      <c r="AN99" s="2">
        <v>0.7</v>
      </c>
      <c r="AO99" s="2">
        <v>0.78</v>
      </c>
    </row>
    <row r="100" spans="40:41" x14ac:dyDescent="0.55000000000000004">
      <c r="AN100" s="2">
        <v>1.08</v>
      </c>
      <c r="AO100" s="2">
        <v>1.01</v>
      </c>
    </row>
    <row r="101" spans="40:41" x14ac:dyDescent="0.55000000000000004">
      <c r="AN101" s="2">
        <v>0.83</v>
      </c>
      <c r="AO101" s="2">
        <v>0.9</v>
      </c>
    </row>
    <row r="102" spans="40:41" x14ac:dyDescent="0.55000000000000004">
      <c r="AN102" s="2">
        <v>1.17</v>
      </c>
      <c r="AO102" s="2">
        <v>1.3</v>
      </c>
    </row>
    <row r="103" spans="40:41" x14ac:dyDescent="0.55000000000000004">
      <c r="AN103" s="2">
        <v>0.98</v>
      </c>
      <c r="AO103" s="2">
        <v>0.96</v>
      </c>
    </row>
    <row r="104" spans="40:41" x14ac:dyDescent="0.55000000000000004">
      <c r="AN104" s="2">
        <v>0.77</v>
      </c>
      <c r="AO104" s="2">
        <v>0.61</v>
      </c>
    </row>
    <row r="105" spans="40:41" x14ac:dyDescent="0.55000000000000004">
      <c r="AN105" s="2">
        <v>0.91</v>
      </c>
      <c r="AO105" s="2">
        <v>1.27</v>
      </c>
    </row>
    <row r="106" spans="40:41" x14ac:dyDescent="0.55000000000000004">
      <c r="AN106" s="2">
        <v>1.1000000000000001</v>
      </c>
      <c r="AO106" s="2">
        <v>1.05</v>
      </c>
    </row>
    <row r="107" spans="40:41" x14ac:dyDescent="0.55000000000000004">
      <c r="AN107" s="2">
        <v>0.8</v>
      </c>
      <c r="AO107" s="2">
        <v>1.1200000000000001</v>
      </c>
    </row>
    <row r="108" spans="40:41" x14ac:dyDescent="0.55000000000000004">
      <c r="AN108" s="2">
        <v>0.85</v>
      </c>
      <c r="AO108" s="2">
        <v>0.72</v>
      </c>
    </row>
    <row r="109" spans="40:41" x14ac:dyDescent="0.55000000000000004">
      <c r="AN109" s="2">
        <v>0.82</v>
      </c>
      <c r="AO109" s="2">
        <v>0.87</v>
      </c>
    </row>
  </sheetData>
  <printOptions gridLines="1"/>
  <pageMargins left="0.75" right="0.75" top="1" bottom="1" header="7.3648498454181696E-298" footer="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S101"/>
  <sheetViews>
    <sheetView workbookViewId="0"/>
  </sheetViews>
  <sheetFormatPr defaultColWidth="9.71875" defaultRowHeight="14.4" x14ac:dyDescent="0.55000000000000004"/>
  <cols>
    <col min="1" max="1" width="10.71875" style="1" bestFit="1" customWidth="1"/>
    <col min="2" max="2" width="9.71875" style="1" bestFit="1" customWidth="1"/>
    <col min="3" max="3" width="11.44140625" style="1" bestFit="1" customWidth="1"/>
    <col min="4" max="4" width="4.83203125" style="1" bestFit="1" customWidth="1"/>
    <col min="5" max="5" width="5.1640625" style="1" bestFit="1" customWidth="1"/>
    <col min="6" max="6" width="10.83203125" style="1" bestFit="1" customWidth="1"/>
    <col min="7" max="7" width="7.83203125" style="1" bestFit="1" customWidth="1"/>
    <col min="8" max="8" width="10.71875" style="1" bestFit="1" customWidth="1"/>
    <col min="9" max="9" width="7.1640625" style="1" bestFit="1" customWidth="1"/>
    <col min="10" max="10" width="9.5546875" style="1" bestFit="1" customWidth="1"/>
    <col min="11" max="11" width="6.83203125" style="1" bestFit="1" customWidth="1"/>
    <col min="12" max="12" width="13.27734375" style="1" bestFit="1" customWidth="1"/>
    <col min="13" max="13" width="8.27734375" style="1" bestFit="1" customWidth="1"/>
    <col min="14" max="14" width="10" style="1" bestFit="1" customWidth="1"/>
    <col min="15" max="15" width="8.27734375" style="1" bestFit="1" customWidth="1"/>
    <col min="16" max="16" width="10" style="1" bestFit="1" customWidth="1"/>
    <col min="17" max="17" width="8.27734375" style="1" bestFit="1" customWidth="1"/>
    <col min="18" max="18" width="10" style="1" bestFit="1" customWidth="1"/>
    <col min="19" max="19" width="8.27734375" style="1" bestFit="1" customWidth="1"/>
    <col min="20" max="20" width="10" style="1" bestFit="1" customWidth="1"/>
    <col min="21" max="21" width="11.44140625" style="1" bestFit="1" customWidth="1"/>
    <col min="22" max="22" width="5.44140625" style="1" bestFit="1" customWidth="1"/>
    <col min="23" max="23" width="7.1640625" style="1" bestFit="1" customWidth="1"/>
    <col min="24" max="24" width="6.44140625" style="1" bestFit="1" customWidth="1"/>
    <col min="25" max="25" width="9.71875" style="1" bestFit="1" customWidth="1"/>
    <col min="26" max="26" width="10.83203125" style="1" bestFit="1" customWidth="1"/>
    <col min="27" max="27" width="5.1640625" style="1" bestFit="1" customWidth="1"/>
    <col min="28" max="28" width="16" style="1" bestFit="1" customWidth="1"/>
    <col min="29" max="29" width="14.83203125" style="1" bestFit="1" customWidth="1"/>
    <col min="30" max="30" width="10.83203125" style="1" bestFit="1" customWidth="1"/>
    <col min="31" max="31" width="12.5546875" style="2" bestFit="1" customWidth="1"/>
    <col min="32" max="32" width="10.71875" style="2" bestFit="1" customWidth="1"/>
    <col min="33" max="33" width="11.44140625" style="2" bestFit="1" customWidth="1"/>
    <col min="34" max="34" width="13.5546875" style="2" bestFit="1" customWidth="1"/>
    <col min="35" max="35" width="16.71875" style="2" bestFit="1" customWidth="1"/>
    <col min="36" max="36" width="5.83203125" style="2" bestFit="1" customWidth="1"/>
    <col min="37" max="37" width="6.1640625" style="2" bestFit="1" customWidth="1"/>
    <col min="38" max="38" width="3.44140625" style="2" bestFit="1" customWidth="1"/>
    <col min="39" max="39" width="4.1640625" style="2" bestFit="1" customWidth="1"/>
    <col min="40" max="40" width="4.71875" style="2" bestFit="1" customWidth="1"/>
    <col min="41" max="41" width="5.83203125" style="2" bestFit="1" customWidth="1"/>
    <col min="42" max="42" width="4.44140625" style="2" bestFit="1" customWidth="1"/>
    <col min="43" max="43" width="5" style="2" bestFit="1" customWidth="1"/>
    <col min="44" max="44" width="4.5546875" style="2" bestFit="1" customWidth="1"/>
    <col min="45" max="45" width="5.27734375" style="2" bestFit="1" customWidth="1"/>
    <col min="46" max="16384" width="9.71875" style="2"/>
  </cols>
  <sheetData>
    <row r="1" spans="1:45" x14ac:dyDescent="0.55000000000000004">
      <c r="A1" s="1" t="s">
        <v>97</v>
      </c>
      <c r="B1" s="1" t="s">
        <v>479</v>
      </c>
      <c r="C1" s="1" t="s">
        <v>193</v>
      </c>
      <c r="D1" s="1" t="s">
        <v>191</v>
      </c>
      <c r="E1" s="1" t="s">
        <v>1</v>
      </c>
      <c r="F1" s="1" t="s">
        <v>505</v>
      </c>
      <c r="G1" s="1" t="s">
        <v>487</v>
      </c>
      <c r="H1" s="1" t="s">
        <v>232</v>
      </c>
      <c r="I1" s="1" t="s">
        <v>93</v>
      </c>
      <c r="J1" s="1" t="s">
        <v>294</v>
      </c>
      <c r="K1" s="1" t="s">
        <v>30</v>
      </c>
      <c r="L1" s="1" t="s">
        <v>170</v>
      </c>
      <c r="M1" s="1" t="s">
        <v>398</v>
      </c>
      <c r="N1" s="1" t="s">
        <v>82</v>
      </c>
      <c r="O1" s="1" t="s">
        <v>270</v>
      </c>
      <c r="P1" s="1" t="s">
        <v>279</v>
      </c>
      <c r="Q1" s="1" t="s">
        <v>469</v>
      </c>
      <c r="R1" s="1" t="s">
        <v>151</v>
      </c>
      <c r="S1" s="1" t="s">
        <v>355</v>
      </c>
      <c r="T1" s="1" t="s">
        <v>45</v>
      </c>
      <c r="U1" s="1" t="s">
        <v>162</v>
      </c>
      <c r="V1" s="1" t="s">
        <v>369</v>
      </c>
      <c r="W1" s="1" t="s">
        <v>250</v>
      </c>
      <c r="X1" s="1" t="s">
        <v>101</v>
      </c>
      <c r="Y1" s="1" t="s">
        <v>201</v>
      </c>
      <c r="Z1" s="1" t="s">
        <v>444</v>
      </c>
      <c r="AA1" s="1" t="s">
        <v>317</v>
      </c>
      <c r="AB1" s="1" t="s">
        <v>306</v>
      </c>
      <c r="AC1" s="1" t="s">
        <v>256</v>
      </c>
      <c r="AD1" s="1" t="s">
        <v>444</v>
      </c>
      <c r="AE1" s="1" t="s">
        <v>436</v>
      </c>
      <c r="AF1" s="2" t="s">
        <v>371</v>
      </c>
      <c r="AG1" s="2" t="s">
        <v>150</v>
      </c>
      <c r="AH1" s="2" t="s">
        <v>16</v>
      </c>
      <c r="AI1" s="2" t="s">
        <v>312</v>
      </c>
      <c r="AJ1" s="2" t="s">
        <v>109</v>
      </c>
      <c r="AK1" s="2" t="s">
        <v>507</v>
      </c>
      <c r="AL1" s="2" t="s">
        <v>441</v>
      </c>
      <c r="AM1" s="2" t="s">
        <v>440</v>
      </c>
      <c r="AN1" s="2" t="s">
        <v>310</v>
      </c>
      <c r="AO1" s="2" t="s">
        <v>446</v>
      </c>
      <c r="AP1" s="2" t="s">
        <v>105</v>
      </c>
      <c r="AQ1" s="2" t="s">
        <v>255</v>
      </c>
      <c r="AR1" s="2" t="s">
        <v>325</v>
      </c>
      <c r="AS1" s="2" t="s">
        <v>296</v>
      </c>
    </row>
    <row r="2" spans="1:45" x14ac:dyDescent="0.55000000000000004">
      <c r="A2" s="1">
        <v>2</v>
      </c>
      <c r="B2" s="1">
        <v>142</v>
      </c>
      <c r="C2" s="1">
        <v>1</v>
      </c>
      <c r="D2" s="1">
        <v>0</v>
      </c>
      <c r="E2" s="1">
        <v>90</v>
      </c>
      <c r="F2" s="1">
        <v>0</v>
      </c>
      <c r="G2" s="1">
        <v>1</v>
      </c>
      <c r="H2" s="2">
        <v>340483</v>
      </c>
      <c r="I2" s="2">
        <v>6234</v>
      </c>
      <c r="J2" s="2">
        <v>0.09</v>
      </c>
      <c r="K2" s="1">
        <v>0.98</v>
      </c>
      <c r="L2" s="1">
        <v>1</v>
      </c>
      <c r="M2" s="1">
        <v>8</v>
      </c>
      <c r="N2" s="1">
        <v>1</v>
      </c>
      <c r="O2" s="1">
        <v>0</v>
      </c>
      <c r="P2" s="1">
        <v>0</v>
      </c>
      <c r="Q2" s="1">
        <v>25</v>
      </c>
      <c r="R2" s="1">
        <v>0</v>
      </c>
      <c r="S2" s="1">
        <v>21</v>
      </c>
      <c r="T2" s="1">
        <v>1</v>
      </c>
      <c r="U2" s="1">
        <v>1</v>
      </c>
      <c r="V2" s="1">
        <v>6</v>
      </c>
      <c r="W2" s="1">
        <v>1</v>
      </c>
      <c r="X2" s="1">
        <v>1</v>
      </c>
      <c r="Y2" s="1">
        <v>8</v>
      </c>
      <c r="Z2" s="1">
        <v>1</v>
      </c>
      <c r="AA2" s="1">
        <v>1</v>
      </c>
      <c r="AB2" s="1">
        <v>1</v>
      </c>
      <c r="AC2" s="1">
        <v>6</v>
      </c>
      <c r="AD2" s="1">
        <v>1</v>
      </c>
      <c r="AE2" s="2">
        <v>5</v>
      </c>
      <c r="AF2" s="2">
        <v>46</v>
      </c>
      <c r="AG2" s="2">
        <v>0</v>
      </c>
      <c r="AH2" s="2">
        <v>1</v>
      </c>
      <c r="AI2" s="2">
        <v>4</v>
      </c>
      <c r="AJ2" s="2">
        <v>20</v>
      </c>
      <c r="AK2" s="2">
        <v>1</v>
      </c>
      <c r="AL2" s="2">
        <v>0</v>
      </c>
      <c r="AM2" s="2">
        <v>27</v>
      </c>
      <c r="AN2" s="2">
        <v>1</v>
      </c>
      <c r="AO2" s="2">
        <v>0</v>
      </c>
      <c r="AP2" s="2">
        <v>0</v>
      </c>
      <c r="AQ2" s="2">
        <v>1</v>
      </c>
      <c r="AR2" s="2">
        <v>3</v>
      </c>
      <c r="AS2" s="2">
        <v>3</v>
      </c>
    </row>
    <row r="3" spans="1:45" x14ac:dyDescent="0.55000000000000004">
      <c r="A3" s="1">
        <v>1</v>
      </c>
      <c r="B3" s="1">
        <v>143</v>
      </c>
      <c r="C3" s="1">
        <v>1</v>
      </c>
      <c r="D3" s="1">
        <v>1</v>
      </c>
      <c r="E3" s="1">
        <v>76</v>
      </c>
      <c r="F3" s="1">
        <v>0</v>
      </c>
      <c r="G3" s="2">
        <v>4</v>
      </c>
      <c r="H3" s="2">
        <v>1302198</v>
      </c>
      <c r="I3" s="2">
        <v>1049</v>
      </c>
      <c r="J3" s="2">
        <v>0.41</v>
      </c>
      <c r="K3" s="1">
        <v>0.98</v>
      </c>
      <c r="L3" s="1">
        <v>1</v>
      </c>
      <c r="M3" s="1">
        <v>6</v>
      </c>
      <c r="N3" s="1">
        <v>1</v>
      </c>
      <c r="O3" s="1">
        <v>4</v>
      </c>
      <c r="P3" s="1">
        <v>1</v>
      </c>
      <c r="Q3" s="1">
        <v>5</v>
      </c>
      <c r="R3" s="1">
        <v>1</v>
      </c>
      <c r="S3" s="1">
        <v>5</v>
      </c>
      <c r="T3" s="1">
        <v>1</v>
      </c>
      <c r="U3" s="1">
        <v>1</v>
      </c>
      <c r="V3" s="1">
        <v>19</v>
      </c>
      <c r="W3" s="1">
        <v>1</v>
      </c>
      <c r="X3" s="1">
        <v>1</v>
      </c>
      <c r="Y3" s="1">
        <v>8</v>
      </c>
      <c r="Z3" s="1">
        <v>1</v>
      </c>
      <c r="AA3" s="1">
        <v>2</v>
      </c>
      <c r="AB3" s="1">
        <v>1</v>
      </c>
      <c r="AC3" s="1">
        <v>6</v>
      </c>
      <c r="AD3" s="1">
        <v>1</v>
      </c>
      <c r="AE3" s="2">
        <v>6</v>
      </c>
      <c r="AF3" s="2">
        <v>35</v>
      </c>
      <c r="AG3" s="2">
        <v>1</v>
      </c>
      <c r="AH3" s="2">
        <v>0</v>
      </c>
      <c r="AI3" s="2">
        <v>3</v>
      </c>
      <c r="AJ3" s="2">
        <v>17</v>
      </c>
      <c r="AK3" s="2">
        <v>1</v>
      </c>
      <c r="AL3" s="2">
        <v>0</v>
      </c>
      <c r="AM3" s="2">
        <v>18</v>
      </c>
      <c r="AN3" s="2">
        <v>1</v>
      </c>
      <c r="AO3" s="2">
        <v>0</v>
      </c>
      <c r="AP3" s="2">
        <v>0</v>
      </c>
      <c r="AQ3" s="2">
        <v>1</v>
      </c>
      <c r="AR3" s="2">
        <v>8</v>
      </c>
      <c r="AS3" s="2">
        <v>4</v>
      </c>
    </row>
    <row r="4" spans="1:45" x14ac:dyDescent="0.55000000000000004">
      <c r="A4" s="1">
        <v>2</v>
      </c>
      <c r="B4" s="1">
        <v>157</v>
      </c>
      <c r="C4" s="1">
        <v>1</v>
      </c>
      <c r="D4" s="1">
        <v>2</v>
      </c>
      <c r="E4" s="1">
        <v>51</v>
      </c>
      <c r="F4" s="1">
        <v>0</v>
      </c>
      <c r="G4" s="2">
        <v>5</v>
      </c>
      <c r="H4" s="2">
        <v>1918117</v>
      </c>
      <c r="I4" s="2">
        <v>723</v>
      </c>
      <c r="J4" s="2">
        <v>0.44</v>
      </c>
      <c r="K4" s="1">
        <v>0.98</v>
      </c>
      <c r="L4" s="1">
        <v>1</v>
      </c>
      <c r="M4" s="1">
        <v>6</v>
      </c>
      <c r="N4" s="1">
        <v>1</v>
      </c>
      <c r="O4" s="1">
        <v>5</v>
      </c>
      <c r="P4" s="1">
        <v>1</v>
      </c>
      <c r="Q4" s="1">
        <v>28</v>
      </c>
      <c r="R4" s="1">
        <v>0</v>
      </c>
      <c r="S4" s="1">
        <v>18</v>
      </c>
      <c r="T4" s="1">
        <v>1</v>
      </c>
      <c r="U4" s="1">
        <v>1</v>
      </c>
      <c r="V4" s="1">
        <v>32</v>
      </c>
      <c r="W4" s="1">
        <v>1</v>
      </c>
      <c r="X4" s="1">
        <v>2</v>
      </c>
      <c r="Y4" s="1">
        <v>13</v>
      </c>
      <c r="Z4" s="1">
        <v>1</v>
      </c>
      <c r="AA4" s="1">
        <v>1</v>
      </c>
      <c r="AB4" s="1">
        <v>1</v>
      </c>
      <c r="AC4" s="1">
        <v>6</v>
      </c>
      <c r="AD4" s="1">
        <v>1</v>
      </c>
      <c r="AE4" s="2">
        <v>8</v>
      </c>
      <c r="AF4" s="2">
        <v>30</v>
      </c>
      <c r="AG4" s="2">
        <v>1</v>
      </c>
      <c r="AH4" s="2">
        <v>1</v>
      </c>
      <c r="AI4" s="2">
        <v>2</v>
      </c>
      <c r="AJ4" s="2">
        <v>25</v>
      </c>
      <c r="AK4" s="2">
        <v>1</v>
      </c>
      <c r="AL4" s="2">
        <v>0</v>
      </c>
      <c r="AM4" s="2">
        <v>19</v>
      </c>
      <c r="AN4" s="2">
        <v>0</v>
      </c>
      <c r="AO4" s="2">
        <v>1</v>
      </c>
      <c r="AP4" s="2">
        <v>0</v>
      </c>
      <c r="AQ4" s="2">
        <v>1</v>
      </c>
      <c r="AR4" s="2">
        <v>13</v>
      </c>
      <c r="AS4" s="2">
        <v>3</v>
      </c>
    </row>
    <row r="5" spans="1:45" x14ac:dyDescent="0.55000000000000004">
      <c r="A5" s="1">
        <v>2</v>
      </c>
      <c r="B5" s="1">
        <v>163</v>
      </c>
      <c r="C5" s="1">
        <v>1</v>
      </c>
      <c r="D5" s="1">
        <v>3</v>
      </c>
      <c r="E5" s="1">
        <v>25</v>
      </c>
      <c r="F5" s="1">
        <v>12</v>
      </c>
      <c r="G5" s="2">
        <v>5</v>
      </c>
      <c r="H5" s="2">
        <v>1963681</v>
      </c>
      <c r="I5" s="2">
        <v>735</v>
      </c>
      <c r="J5" s="2">
        <v>0.54</v>
      </c>
      <c r="K5" s="1">
        <v>0.97</v>
      </c>
      <c r="L5" s="1">
        <v>1</v>
      </c>
      <c r="M5" s="1">
        <v>14</v>
      </c>
      <c r="N5" s="1">
        <v>0</v>
      </c>
      <c r="O5" s="1">
        <v>35</v>
      </c>
      <c r="P5" s="1">
        <v>0</v>
      </c>
      <c r="Q5" s="1">
        <v>23</v>
      </c>
      <c r="R5" s="1">
        <v>1</v>
      </c>
      <c r="S5" s="1">
        <v>19</v>
      </c>
      <c r="T5" s="1">
        <v>0</v>
      </c>
      <c r="U5" s="1">
        <v>1</v>
      </c>
      <c r="V5" s="1">
        <v>42</v>
      </c>
      <c r="W5" s="1">
        <v>1</v>
      </c>
      <c r="X5" s="1">
        <v>2</v>
      </c>
      <c r="Y5" s="1">
        <v>18</v>
      </c>
      <c r="Z5" s="1">
        <v>1</v>
      </c>
      <c r="AA5" s="1">
        <v>1</v>
      </c>
      <c r="AB5" s="1">
        <v>1</v>
      </c>
      <c r="AC5" s="1">
        <v>6</v>
      </c>
      <c r="AD5" s="1">
        <v>0</v>
      </c>
      <c r="AE5" s="2">
        <v>3</v>
      </c>
      <c r="AF5" s="2">
        <v>30</v>
      </c>
      <c r="AG5" s="2">
        <v>1</v>
      </c>
      <c r="AH5" s="2">
        <v>1</v>
      </c>
      <c r="AI5" s="2">
        <v>2</v>
      </c>
      <c r="AJ5" s="2">
        <v>52</v>
      </c>
      <c r="AK5" s="2">
        <v>0</v>
      </c>
      <c r="AL5" s="2">
        <v>1</v>
      </c>
      <c r="AM5" s="2">
        <v>23</v>
      </c>
      <c r="AN5" s="2">
        <v>1</v>
      </c>
      <c r="AO5" s="2">
        <v>1</v>
      </c>
      <c r="AP5" s="2">
        <v>1</v>
      </c>
      <c r="AQ5" s="2">
        <v>1</v>
      </c>
      <c r="AR5" s="2">
        <v>1</v>
      </c>
      <c r="AS5" s="2">
        <v>5</v>
      </c>
    </row>
    <row r="6" spans="1:45" x14ac:dyDescent="0.55000000000000004">
      <c r="A6" s="1">
        <v>1</v>
      </c>
      <c r="B6" s="1">
        <v>165</v>
      </c>
      <c r="C6" s="1">
        <v>1</v>
      </c>
      <c r="D6" s="1">
        <v>4</v>
      </c>
      <c r="E6" s="1">
        <v>20</v>
      </c>
      <c r="F6" s="1">
        <v>5</v>
      </c>
      <c r="G6" s="2">
        <v>5</v>
      </c>
      <c r="H6" s="2">
        <v>1817379</v>
      </c>
      <c r="I6" s="2">
        <v>2054</v>
      </c>
      <c r="J6" s="2">
        <v>0.59</v>
      </c>
      <c r="K6" s="1">
        <v>0.95</v>
      </c>
      <c r="L6" s="1">
        <v>1</v>
      </c>
      <c r="M6" s="1">
        <v>7</v>
      </c>
      <c r="N6" s="1">
        <v>1</v>
      </c>
      <c r="O6" s="1">
        <v>0</v>
      </c>
      <c r="P6" s="1">
        <v>0</v>
      </c>
      <c r="Q6" s="1">
        <v>13</v>
      </c>
      <c r="R6" s="1">
        <v>1</v>
      </c>
      <c r="S6" s="1">
        <v>0</v>
      </c>
      <c r="T6" s="1">
        <v>0</v>
      </c>
      <c r="U6" s="1">
        <v>1</v>
      </c>
      <c r="V6" s="1">
        <v>42</v>
      </c>
      <c r="W6" s="1">
        <v>1</v>
      </c>
      <c r="X6" s="1">
        <v>2</v>
      </c>
      <c r="Y6" s="1">
        <v>23</v>
      </c>
      <c r="Z6" s="1">
        <v>1</v>
      </c>
      <c r="AA6" s="1">
        <v>1</v>
      </c>
      <c r="AB6" s="1">
        <v>1</v>
      </c>
      <c r="AC6" s="1">
        <v>7</v>
      </c>
      <c r="AD6" s="1">
        <v>1</v>
      </c>
      <c r="AE6" s="2">
        <v>22</v>
      </c>
      <c r="AF6" s="2">
        <v>36</v>
      </c>
      <c r="AG6" s="2">
        <v>0</v>
      </c>
      <c r="AH6" s="2">
        <v>1</v>
      </c>
      <c r="AI6" s="2">
        <v>3</v>
      </c>
      <c r="AJ6" s="2">
        <v>52</v>
      </c>
      <c r="AK6" s="2">
        <v>0</v>
      </c>
      <c r="AL6" s="2">
        <v>0</v>
      </c>
      <c r="AM6" s="2">
        <v>19</v>
      </c>
      <c r="AN6" s="2">
        <v>0</v>
      </c>
      <c r="AO6" s="2">
        <v>1</v>
      </c>
      <c r="AP6" s="2">
        <v>0</v>
      </c>
      <c r="AQ6" s="2">
        <v>1</v>
      </c>
      <c r="AR6" s="2">
        <v>3</v>
      </c>
      <c r="AS6" s="2">
        <v>3</v>
      </c>
    </row>
    <row r="7" spans="1:45" x14ac:dyDescent="0.55000000000000004">
      <c r="A7" s="1">
        <v>1</v>
      </c>
      <c r="B7" s="1">
        <v>188</v>
      </c>
      <c r="C7" s="1">
        <v>1</v>
      </c>
      <c r="D7" s="1">
        <v>5</v>
      </c>
      <c r="E7" s="1">
        <v>7</v>
      </c>
      <c r="F7" s="1">
        <v>9</v>
      </c>
      <c r="G7" s="2">
        <v>5</v>
      </c>
      <c r="H7" s="2">
        <v>1740966</v>
      </c>
      <c r="I7" s="2">
        <v>2702</v>
      </c>
      <c r="J7" s="2">
        <v>0.49</v>
      </c>
      <c r="K7" s="1">
        <v>0.95</v>
      </c>
      <c r="L7" s="1">
        <v>1</v>
      </c>
      <c r="M7" s="1">
        <v>5</v>
      </c>
      <c r="N7" s="1">
        <v>1</v>
      </c>
      <c r="O7" s="1">
        <v>4</v>
      </c>
      <c r="P7" s="1">
        <v>1</v>
      </c>
      <c r="Q7" s="1">
        <v>27</v>
      </c>
      <c r="R7" s="1">
        <v>1</v>
      </c>
      <c r="S7" s="1">
        <v>8</v>
      </c>
      <c r="T7" s="1">
        <v>1</v>
      </c>
      <c r="U7" s="1">
        <v>1</v>
      </c>
      <c r="V7" s="1">
        <v>43</v>
      </c>
      <c r="W7" s="1">
        <v>0</v>
      </c>
      <c r="X7" s="1">
        <v>1</v>
      </c>
      <c r="Y7" s="1">
        <v>52</v>
      </c>
      <c r="Z7" s="1">
        <v>1</v>
      </c>
      <c r="AA7" s="1">
        <v>1</v>
      </c>
      <c r="AB7" s="1">
        <v>1</v>
      </c>
      <c r="AC7" s="1">
        <v>9</v>
      </c>
      <c r="AD7" s="1">
        <v>0</v>
      </c>
      <c r="AE7" s="2">
        <v>1</v>
      </c>
      <c r="AF7" s="2">
        <v>32</v>
      </c>
      <c r="AG7" s="2">
        <v>1</v>
      </c>
      <c r="AH7" s="2">
        <v>0</v>
      </c>
      <c r="AI7" s="2">
        <v>2</v>
      </c>
    </row>
    <row r="8" spans="1:45" x14ac:dyDescent="0.55000000000000004">
      <c r="A8" s="1">
        <v>1</v>
      </c>
      <c r="B8" s="1">
        <v>188</v>
      </c>
      <c r="C8" s="1">
        <v>1</v>
      </c>
      <c r="D8" s="1">
        <v>6</v>
      </c>
      <c r="E8" s="1">
        <v>4</v>
      </c>
      <c r="F8" s="1">
        <v>9</v>
      </c>
      <c r="G8" s="2">
        <v>5</v>
      </c>
      <c r="H8" s="2">
        <v>1457614</v>
      </c>
      <c r="I8" s="2">
        <v>2071</v>
      </c>
      <c r="J8" s="2">
        <v>0.51</v>
      </c>
      <c r="K8" s="1">
        <v>0.95</v>
      </c>
      <c r="L8" s="1">
        <v>1</v>
      </c>
      <c r="M8" s="1">
        <v>5</v>
      </c>
      <c r="N8" s="1">
        <v>1</v>
      </c>
      <c r="O8" s="1">
        <v>21</v>
      </c>
      <c r="P8" s="1">
        <v>0</v>
      </c>
      <c r="Q8" s="1">
        <v>6</v>
      </c>
      <c r="R8" s="1">
        <v>1</v>
      </c>
      <c r="S8" s="1">
        <v>14</v>
      </c>
      <c r="T8" s="1">
        <v>1</v>
      </c>
      <c r="U8" s="1">
        <v>1</v>
      </c>
      <c r="V8" s="1">
        <v>94</v>
      </c>
      <c r="W8" s="1">
        <v>1</v>
      </c>
      <c r="X8" s="1">
        <v>1</v>
      </c>
      <c r="Y8" s="1">
        <v>63</v>
      </c>
      <c r="Z8" s="1">
        <v>1</v>
      </c>
      <c r="AA8" s="1">
        <v>1</v>
      </c>
      <c r="AB8" s="1">
        <v>1</v>
      </c>
      <c r="AC8" s="1">
        <v>10</v>
      </c>
      <c r="AD8" s="1">
        <v>1</v>
      </c>
      <c r="AE8" s="2">
        <v>7</v>
      </c>
      <c r="AF8" s="2">
        <v>36</v>
      </c>
      <c r="AG8" s="2">
        <v>1</v>
      </c>
      <c r="AH8" s="2">
        <v>1</v>
      </c>
      <c r="AI8" s="2">
        <v>3</v>
      </c>
    </row>
    <row r="9" spans="1:45" x14ac:dyDescent="0.55000000000000004">
      <c r="A9" s="1">
        <v>1</v>
      </c>
      <c r="B9" s="1">
        <v>190</v>
      </c>
      <c r="C9" s="1">
        <v>1</v>
      </c>
      <c r="D9" s="1">
        <v>7</v>
      </c>
      <c r="E9" s="1">
        <v>1</v>
      </c>
      <c r="F9" s="1">
        <v>3</v>
      </c>
      <c r="G9" s="2">
        <v>5</v>
      </c>
      <c r="H9" s="2">
        <v>1219389</v>
      </c>
      <c r="I9" s="2">
        <v>1964</v>
      </c>
      <c r="J9" s="2">
        <v>0.52</v>
      </c>
      <c r="K9" s="1">
        <v>0.95</v>
      </c>
      <c r="L9" s="1">
        <v>1</v>
      </c>
      <c r="M9" s="1">
        <v>6</v>
      </c>
      <c r="N9" s="1">
        <v>1</v>
      </c>
      <c r="O9" s="1">
        <v>10</v>
      </c>
      <c r="P9" s="1">
        <v>1</v>
      </c>
      <c r="Q9" s="1">
        <v>14</v>
      </c>
      <c r="R9" s="1">
        <v>1</v>
      </c>
      <c r="S9" s="1">
        <v>18</v>
      </c>
      <c r="T9" s="1">
        <v>1</v>
      </c>
      <c r="U9" s="1">
        <v>1</v>
      </c>
      <c r="V9" s="1">
        <v>126</v>
      </c>
      <c r="W9" s="1">
        <v>0</v>
      </c>
      <c r="X9" s="1">
        <v>1</v>
      </c>
      <c r="Y9" s="1">
        <v>63</v>
      </c>
      <c r="Z9" s="1">
        <v>1</v>
      </c>
      <c r="AA9" s="1">
        <v>1</v>
      </c>
      <c r="AB9" s="1">
        <v>1</v>
      </c>
      <c r="AC9" s="1">
        <v>10</v>
      </c>
      <c r="AD9" s="1">
        <v>0</v>
      </c>
      <c r="AE9" s="2">
        <v>9</v>
      </c>
      <c r="AF9" s="2">
        <v>31</v>
      </c>
      <c r="AG9" s="2">
        <v>1</v>
      </c>
      <c r="AH9" s="2">
        <v>1</v>
      </c>
      <c r="AI9" s="2">
        <v>2</v>
      </c>
    </row>
    <row r="10" spans="1:45" x14ac:dyDescent="0.55000000000000004">
      <c r="A10" s="1">
        <v>1</v>
      </c>
      <c r="B10" s="1">
        <v>192</v>
      </c>
      <c r="C10" s="1">
        <v>1</v>
      </c>
      <c r="D10" s="1">
        <v>8</v>
      </c>
      <c r="E10" s="1">
        <v>3</v>
      </c>
      <c r="F10" s="1">
        <v>5</v>
      </c>
      <c r="G10" s="2">
        <v>5</v>
      </c>
      <c r="H10" s="2">
        <v>1149999</v>
      </c>
      <c r="I10" s="2">
        <v>2588</v>
      </c>
      <c r="J10" s="2">
        <v>0.53</v>
      </c>
      <c r="K10" s="1">
        <v>0.94</v>
      </c>
      <c r="L10" s="1">
        <v>1</v>
      </c>
      <c r="M10" s="1">
        <v>7</v>
      </c>
      <c r="N10" s="1">
        <v>1</v>
      </c>
      <c r="O10" s="1">
        <v>4</v>
      </c>
      <c r="P10" s="1">
        <v>1</v>
      </c>
      <c r="Q10" s="1">
        <v>15</v>
      </c>
      <c r="R10" s="1">
        <v>1</v>
      </c>
      <c r="S10" s="1">
        <v>8</v>
      </c>
      <c r="T10" s="1">
        <v>1</v>
      </c>
      <c r="U10" s="1">
        <v>1</v>
      </c>
      <c r="V10" s="1">
        <v>169</v>
      </c>
      <c r="W10" s="1">
        <v>0</v>
      </c>
      <c r="X10" s="1">
        <v>2</v>
      </c>
      <c r="Y10" s="1">
        <v>70</v>
      </c>
      <c r="Z10" s="1">
        <v>1</v>
      </c>
      <c r="AA10" s="1">
        <v>2</v>
      </c>
      <c r="AB10" s="1">
        <v>1</v>
      </c>
      <c r="AC10" s="1">
        <v>11</v>
      </c>
      <c r="AD10" s="1">
        <v>0</v>
      </c>
      <c r="AE10" s="2">
        <v>3</v>
      </c>
      <c r="AF10" s="2">
        <v>48</v>
      </c>
      <c r="AG10" s="2">
        <v>0</v>
      </c>
      <c r="AH10" s="2">
        <v>1</v>
      </c>
      <c r="AI10" s="2">
        <v>4</v>
      </c>
    </row>
    <row r="11" spans="1:45" x14ac:dyDescent="0.55000000000000004">
      <c r="A11" s="1">
        <v>2</v>
      </c>
      <c r="B11" s="1">
        <v>198</v>
      </c>
      <c r="C11" s="1">
        <v>1</v>
      </c>
      <c r="D11" s="1">
        <v>9</v>
      </c>
      <c r="E11" s="1">
        <v>2</v>
      </c>
      <c r="F11" s="1">
        <v>5</v>
      </c>
      <c r="G11" s="2">
        <v>5</v>
      </c>
      <c r="H11" s="2">
        <v>1208550</v>
      </c>
      <c r="I11" s="2">
        <v>4114</v>
      </c>
      <c r="J11" s="2">
        <v>0.54</v>
      </c>
      <c r="K11" s="1">
        <v>0.93</v>
      </c>
      <c r="L11" s="1">
        <v>1</v>
      </c>
      <c r="M11" s="1">
        <v>6</v>
      </c>
      <c r="N11" s="1">
        <v>1</v>
      </c>
      <c r="O11" s="1">
        <v>5</v>
      </c>
      <c r="P11" s="1">
        <v>1</v>
      </c>
      <c r="Q11" s="1">
        <v>5</v>
      </c>
      <c r="R11" s="1">
        <v>1</v>
      </c>
      <c r="S11" s="1">
        <v>5</v>
      </c>
      <c r="T11" s="1">
        <v>1</v>
      </c>
      <c r="U11" s="1">
        <v>1</v>
      </c>
      <c r="V11" s="1">
        <v>207</v>
      </c>
      <c r="W11" s="1">
        <v>1</v>
      </c>
      <c r="X11" s="1">
        <v>2</v>
      </c>
      <c r="Y11" s="1">
        <v>70</v>
      </c>
      <c r="Z11" s="1">
        <v>1</v>
      </c>
      <c r="AA11" s="1">
        <v>2</v>
      </c>
      <c r="AB11" s="1">
        <v>1</v>
      </c>
      <c r="AC11" s="1">
        <v>13</v>
      </c>
      <c r="AD11" s="1">
        <v>1</v>
      </c>
      <c r="AE11" s="2">
        <v>12</v>
      </c>
      <c r="AF11" s="2">
        <v>47</v>
      </c>
      <c r="AG11" s="2">
        <v>0</v>
      </c>
      <c r="AH11" s="2">
        <v>1</v>
      </c>
      <c r="AI11" s="2">
        <v>4</v>
      </c>
    </row>
    <row r="12" spans="1:45" x14ac:dyDescent="0.55000000000000004">
      <c r="A12" s="1">
        <v>2</v>
      </c>
      <c r="B12" s="1">
        <v>204</v>
      </c>
      <c r="C12" s="1">
        <v>0</v>
      </c>
      <c r="D12" s="1">
        <v>10</v>
      </c>
      <c r="E12" s="1">
        <v>21</v>
      </c>
      <c r="F12" s="1">
        <v>26</v>
      </c>
      <c r="G12" s="2">
        <v>5</v>
      </c>
      <c r="H12" s="2">
        <v>1245903</v>
      </c>
      <c r="I12" s="2">
        <v>6722</v>
      </c>
      <c r="J12" s="2">
        <v>0.53</v>
      </c>
      <c r="K12" s="1">
        <v>0.92</v>
      </c>
      <c r="L12" s="1">
        <v>1</v>
      </c>
      <c r="M12" s="1">
        <v>4</v>
      </c>
      <c r="N12" s="1">
        <v>1</v>
      </c>
      <c r="O12" s="1">
        <v>5</v>
      </c>
      <c r="P12" s="1">
        <v>1</v>
      </c>
      <c r="Q12" s="1">
        <v>6</v>
      </c>
      <c r="R12" s="1">
        <v>1</v>
      </c>
      <c r="S12" s="1">
        <v>3</v>
      </c>
      <c r="T12" s="1">
        <v>1</v>
      </c>
      <c r="U12" s="1">
        <v>1</v>
      </c>
      <c r="V12" s="1">
        <v>211</v>
      </c>
      <c r="W12" s="1">
        <v>0</v>
      </c>
      <c r="X12" s="1">
        <v>2</v>
      </c>
      <c r="Y12" s="1">
        <v>180</v>
      </c>
      <c r="Z12" s="1">
        <v>1</v>
      </c>
      <c r="AA12" s="1">
        <v>2</v>
      </c>
      <c r="AB12" s="1">
        <v>1</v>
      </c>
      <c r="AC12" s="1">
        <v>16</v>
      </c>
      <c r="AD12" s="1">
        <v>1</v>
      </c>
      <c r="AE12" s="2">
        <v>2</v>
      </c>
      <c r="AF12" s="2">
        <v>28</v>
      </c>
      <c r="AG12" s="2">
        <v>1</v>
      </c>
      <c r="AH12" s="2">
        <v>0</v>
      </c>
      <c r="AI12" s="2">
        <v>1</v>
      </c>
    </row>
    <row r="13" spans="1:45" x14ac:dyDescent="0.55000000000000004">
      <c r="A13" s="1">
        <v>2</v>
      </c>
      <c r="B13" s="1">
        <v>205</v>
      </c>
      <c r="C13" s="1">
        <v>1</v>
      </c>
      <c r="G13" s="2">
        <v>5</v>
      </c>
      <c r="H13" s="2">
        <v>1083852</v>
      </c>
      <c r="I13" s="2">
        <v>8948</v>
      </c>
      <c r="J13" s="2">
        <v>0.53</v>
      </c>
      <c r="K13" s="1">
        <v>0.9</v>
      </c>
      <c r="L13" s="1">
        <v>1</v>
      </c>
      <c r="M13" s="1">
        <v>5</v>
      </c>
      <c r="N13" s="1">
        <v>1</v>
      </c>
      <c r="O13" s="1">
        <v>4</v>
      </c>
      <c r="P13" s="1">
        <v>1</v>
      </c>
      <c r="Q13" s="1">
        <v>7</v>
      </c>
      <c r="R13" s="1">
        <v>1</v>
      </c>
      <c r="S13" s="1">
        <v>5</v>
      </c>
      <c r="T13" s="1">
        <v>1</v>
      </c>
      <c r="U13" s="1">
        <v>1</v>
      </c>
      <c r="V13" s="1">
        <v>227</v>
      </c>
      <c r="W13" s="1">
        <v>0</v>
      </c>
      <c r="X13" s="1">
        <v>2</v>
      </c>
      <c r="Y13" s="1">
        <v>195</v>
      </c>
      <c r="Z13" s="1">
        <v>1</v>
      </c>
      <c r="AA13" s="1">
        <v>2</v>
      </c>
      <c r="AB13" s="1">
        <v>1</v>
      </c>
      <c r="AC13" s="1">
        <v>17</v>
      </c>
      <c r="AD13" s="1">
        <v>0</v>
      </c>
      <c r="AE13" s="2">
        <v>12</v>
      </c>
      <c r="AF13" s="2">
        <v>34</v>
      </c>
      <c r="AG13" s="2">
        <v>0</v>
      </c>
      <c r="AH13" s="2">
        <v>1</v>
      </c>
      <c r="AI13" s="2">
        <v>2</v>
      </c>
    </row>
    <row r="14" spans="1:45" x14ac:dyDescent="0.55000000000000004">
      <c r="A14" s="1">
        <v>1</v>
      </c>
      <c r="B14" s="1">
        <v>206</v>
      </c>
      <c r="C14" s="1">
        <v>1</v>
      </c>
      <c r="G14" s="2">
        <v>5</v>
      </c>
      <c r="H14" s="2">
        <v>933244</v>
      </c>
      <c r="I14" s="2">
        <v>11942</v>
      </c>
      <c r="J14" s="2">
        <v>0.52</v>
      </c>
      <c r="K14" s="1">
        <v>0.88</v>
      </c>
      <c r="L14" s="1">
        <v>1</v>
      </c>
      <c r="M14" s="1">
        <v>21</v>
      </c>
      <c r="N14" s="1">
        <v>0</v>
      </c>
      <c r="O14" s="1">
        <v>5</v>
      </c>
      <c r="P14" s="1">
        <v>1</v>
      </c>
      <c r="Q14" s="1">
        <v>0</v>
      </c>
      <c r="R14" s="1">
        <v>0</v>
      </c>
      <c r="S14" s="1">
        <v>6</v>
      </c>
      <c r="T14" s="1">
        <v>1</v>
      </c>
      <c r="U14" s="1">
        <v>1</v>
      </c>
      <c r="V14" s="1">
        <v>253</v>
      </c>
      <c r="W14" s="1">
        <v>1</v>
      </c>
      <c r="X14" s="1">
        <v>2</v>
      </c>
      <c r="Y14" s="1">
        <v>210</v>
      </c>
      <c r="Z14" s="1">
        <v>1</v>
      </c>
      <c r="AA14" s="1">
        <v>2</v>
      </c>
      <c r="AB14" s="1">
        <v>1</v>
      </c>
      <c r="AC14" s="1">
        <v>19</v>
      </c>
      <c r="AD14" s="1">
        <v>0</v>
      </c>
      <c r="AE14" s="2">
        <v>1</v>
      </c>
      <c r="AF14" s="2">
        <v>44</v>
      </c>
      <c r="AG14" s="2">
        <v>1</v>
      </c>
      <c r="AH14" s="2">
        <v>1</v>
      </c>
      <c r="AI14" s="2">
        <v>4</v>
      </c>
    </row>
    <row r="15" spans="1:45" x14ac:dyDescent="0.55000000000000004">
      <c r="A15" s="1">
        <v>1</v>
      </c>
      <c r="B15" s="1">
        <v>208</v>
      </c>
      <c r="C15" s="1">
        <v>1</v>
      </c>
      <c r="G15" s="2">
        <v>5</v>
      </c>
      <c r="H15" s="2">
        <v>770770</v>
      </c>
      <c r="I15" s="2">
        <v>14309</v>
      </c>
      <c r="J15" s="2">
        <v>0.52</v>
      </c>
      <c r="K15" s="1">
        <v>0.89</v>
      </c>
      <c r="L15" s="1">
        <v>1</v>
      </c>
      <c r="M15" s="1">
        <v>13</v>
      </c>
      <c r="N15" s="1">
        <v>1</v>
      </c>
      <c r="O15" s="1">
        <v>27</v>
      </c>
      <c r="P15" s="1">
        <v>0</v>
      </c>
      <c r="Q15" s="1">
        <v>21</v>
      </c>
      <c r="R15" s="1">
        <v>0</v>
      </c>
      <c r="S15" s="1">
        <v>8</v>
      </c>
      <c r="T15" s="1">
        <v>1</v>
      </c>
      <c r="U15" s="1">
        <v>1</v>
      </c>
      <c r="V15" s="1">
        <v>255</v>
      </c>
      <c r="W15" s="1">
        <v>0</v>
      </c>
      <c r="X15" s="1">
        <v>1</v>
      </c>
      <c r="Y15" s="1">
        <v>220</v>
      </c>
      <c r="Z15" s="1">
        <v>1</v>
      </c>
      <c r="AA15" s="1">
        <v>2</v>
      </c>
      <c r="AB15" s="1">
        <v>1</v>
      </c>
      <c r="AC15" s="1">
        <v>20</v>
      </c>
      <c r="AD15" s="1">
        <v>0</v>
      </c>
      <c r="AE15" s="2">
        <v>15</v>
      </c>
      <c r="AF15" s="2">
        <v>32</v>
      </c>
      <c r="AG15" s="2">
        <v>1</v>
      </c>
      <c r="AH15" s="2">
        <v>1</v>
      </c>
      <c r="AI15" s="2">
        <v>2</v>
      </c>
    </row>
    <row r="16" spans="1:45" x14ac:dyDescent="0.55000000000000004">
      <c r="A16" s="1">
        <v>1</v>
      </c>
      <c r="B16" s="1">
        <v>212</v>
      </c>
      <c r="C16" s="1">
        <v>1</v>
      </c>
      <c r="G16" s="2">
        <v>5</v>
      </c>
      <c r="H16" s="2">
        <v>620805</v>
      </c>
      <c r="I16" s="2">
        <v>17088</v>
      </c>
      <c r="J16" s="2">
        <v>0.51</v>
      </c>
      <c r="K16" s="1">
        <v>0.89</v>
      </c>
      <c r="L16" s="1">
        <v>1</v>
      </c>
      <c r="M16" s="1">
        <v>4</v>
      </c>
      <c r="N16" s="1">
        <v>1</v>
      </c>
      <c r="O16" s="1">
        <v>27</v>
      </c>
      <c r="P16" s="1">
        <v>0</v>
      </c>
      <c r="Q16" s="1">
        <v>7</v>
      </c>
      <c r="R16" s="1">
        <v>1</v>
      </c>
      <c r="S16" s="1">
        <v>6</v>
      </c>
      <c r="T16" s="1">
        <v>1</v>
      </c>
      <c r="U16" s="1">
        <v>1</v>
      </c>
      <c r="V16" s="1">
        <v>270</v>
      </c>
      <c r="W16" s="1">
        <v>0</v>
      </c>
      <c r="X16" s="1">
        <v>1</v>
      </c>
      <c r="Y16" s="1">
        <v>365</v>
      </c>
      <c r="Z16" s="1">
        <v>0</v>
      </c>
      <c r="AA16" s="1">
        <v>2</v>
      </c>
      <c r="AB16" s="1">
        <v>1</v>
      </c>
      <c r="AC16" s="1">
        <v>22</v>
      </c>
      <c r="AD16" s="1">
        <v>1</v>
      </c>
      <c r="AE16" s="2">
        <v>34</v>
      </c>
      <c r="AF16" s="2">
        <v>36</v>
      </c>
      <c r="AG16" s="2">
        <v>0</v>
      </c>
      <c r="AH16" s="2">
        <v>1</v>
      </c>
      <c r="AI16" s="2">
        <v>3</v>
      </c>
    </row>
    <row r="17" spans="1:35" x14ac:dyDescent="0.55000000000000004">
      <c r="A17" s="1">
        <v>1</v>
      </c>
      <c r="B17" s="1">
        <v>216</v>
      </c>
      <c r="C17" s="1">
        <v>0</v>
      </c>
      <c r="G17" s="2">
        <v>5</v>
      </c>
      <c r="H17" s="2">
        <v>484431</v>
      </c>
      <c r="I17" s="2">
        <v>19149</v>
      </c>
      <c r="J17" s="2">
        <v>0.52</v>
      </c>
      <c r="K17" s="1">
        <v>0.87</v>
      </c>
      <c r="L17" s="1">
        <v>1</v>
      </c>
      <c r="M17" s="1">
        <v>6</v>
      </c>
      <c r="N17" s="1">
        <v>1</v>
      </c>
      <c r="O17" s="1">
        <v>3</v>
      </c>
      <c r="P17" s="1">
        <v>1</v>
      </c>
      <c r="Q17" s="1">
        <v>7</v>
      </c>
      <c r="R17" s="1">
        <v>1</v>
      </c>
      <c r="S17" s="1">
        <v>8</v>
      </c>
      <c r="T17" s="1">
        <v>1</v>
      </c>
      <c r="U17" s="1">
        <v>1</v>
      </c>
      <c r="V17" s="1">
        <v>310</v>
      </c>
      <c r="W17" s="1">
        <v>0</v>
      </c>
      <c r="X17" s="1">
        <v>2</v>
      </c>
      <c r="Y17" s="1">
        <v>632</v>
      </c>
      <c r="Z17" s="1">
        <v>1</v>
      </c>
      <c r="AA17" s="1">
        <v>2</v>
      </c>
      <c r="AB17" s="1">
        <v>1</v>
      </c>
      <c r="AC17" s="1">
        <v>23</v>
      </c>
      <c r="AD17" s="1">
        <v>1</v>
      </c>
      <c r="AE17" s="2">
        <v>1</v>
      </c>
      <c r="AF17" s="2">
        <v>36</v>
      </c>
      <c r="AG17" s="2">
        <v>0</v>
      </c>
      <c r="AH17" s="2">
        <v>1</v>
      </c>
      <c r="AI17" s="2">
        <v>3</v>
      </c>
    </row>
    <row r="18" spans="1:35" x14ac:dyDescent="0.55000000000000004">
      <c r="A18" s="1">
        <v>1</v>
      </c>
      <c r="B18" s="1">
        <v>216</v>
      </c>
      <c r="C18" s="1">
        <v>1</v>
      </c>
      <c r="G18" s="2">
        <v>5</v>
      </c>
      <c r="H18" s="2">
        <v>342097</v>
      </c>
      <c r="I18" s="2">
        <v>21325</v>
      </c>
      <c r="J18" s="2">
        <v>0.51</v>
      </c>
      <c r="K18" s="1">
        <v>0.85</v>
      </c>
      <c r="L18" s="1">
        <v>1</v>
      </c>
      <c r="M18" s="1">
        <v>6</v>
      </c>
      <c r="N18" s="1">
        <v>1</v>
      </c>
      <c r="O18" s="1">
        <v>0</v>
      </c>
      <c r="P18" s="1">
        <v>0</v>
      </c>
      <c r="Q18" s="1">
        <v>5</v>
      </c>
      <c r="R18" s="1">
        <v>1</v>
      </c>
      <c r="S18" s="1">
        <v>5</v>
      </c>
      <c r="T18" s="1">
        <v>1</v>
      </c>
      <c r="U18" s="1">
        <v>1</v>
      </c>
      <c r="V18" s="1">
        <v>316</v>
      </c>
      <c r="W18" s="1">
        <v>0</v>
      </c>
      <c r="X18" s="1">
        <v>2</v>
      </c>
      <c r="Y18" s="1">
        <v>700</v>
      </c>
      <c r="Z18" s="1">
        <v>1</v>
      </c>
      <c r="AA18" s="1">
        <v>2</v>
      </c>
      <c r="AB18" s="1">
        <v>1</v>
      </c>
      <c r="AC18" s="1">
        <v>25</v>
      </c>
      <c r="AD18" s="1">
        <v>0</v>
      </c>
      <c r="AE18" s="2">
        <v>4</v>
      </c>
      <c r="AF18" s="2">
        <v>54</v>
      </c>
      <c r="AG18" s="2">
        <v>0</v>
      </c>
      <c r="AH18" s="2">
        <v>1</v>
      </c>
      <c r="AI18" s="2">
        <v>4</v>
      </c>
    </row>
    <row r="19" spans="1:35" x14ac:dyDescent="0.55000000000000004">
      <c r="A19" s="1">
        <v>1</v>
      </c>
      <c r="B19" s="1">
        <v>220</v>
      </c>
      <c r="C19" s="1">
        <v>1</v>
      </c>
      <c r="G19" s="2">
        <v>5</v>
      </c>
      <c r="H19" s="2">
        <v>210953</v>
      </c>
      <c r="I19" s="2">
        <v>20129</v>
      </c>
      <c r="J19" s="2">
        <v>0.5</v>
      </c>
      <c r="K19" s="1">
        <v>0.81</v>
      </c>
      <c r="L19" s="1">
        <v>1</v>
      </c>
      <c r="M19" s="1">
        <v>6</v>
      </c>
      <c r="N19" s="1">
        <v>1</v>
      </c>
      <c r="O19" s="1">
        <v>0</v>
      </c>
      <c r="P19" s="1">
        <v>0</v>
      </c>
      <c r="Q19" s="1">
        <v>4</v>
      </c>
      <c r="R19" s="1">
        <v>1</v>
      </c>
      <c r="S19" s="1">
        <v>6</v>
      </c>
      <c r="T19" s="1">
        <v>1</v>
      </c>
      <c r="U19" s="1">
        <v>1</v>
      </c>
      <c r="V19" s="1">
        <v>335</v>
      </c>
      <c r="W19" s="1">
        <v>0</v>
      </c>
      <c r="X19" s="1">
        <v>1</v>
      </c>
      <c r="Y19" s="1">
        <v>852</v>
      </c>
      <c r="Z19" s="1">
        <v>0</v>
      </c>
      <c r="AA19" s="1">
        <v>2</v>
      </c>
      <c r="AB19" s="1">
        <v>1</v>
      </c>
      <c r="AC19" s="1">
        <v>32</v>
      </c>
      <c r="AD19" s="1">
        <v>0</v>
      </c>
      <c r="AE19" s="2">
        <v>19</v>
      </c>
      <c r="AF19" s="2">
        <v>35</v>
      </c>
      <c r="AG19" s="2">
        <v>0</v>
      </c>
      <c r="AH19" s="2">
        <v>0</v>
      </c>
      <c r="AI19" s="2">
        <v>3</v>
      </c>
    </row>
    <row r="20" spans="1:35" x14ac:dyDescent="0.55000000000000004">
      <c r="A20" s="1">
        <v>1</v>
      </c>
      <c r="B20" s="1">
        <v>227</v>
      </c>
      <c r="C20" s="1">
        <v>1</v>
      </c>
      <c r="G20" s="2"/>
      <c r="H20" s="2">
        <v>142691</v>
      </c>
      <c r="I20" s="2">
        <v>22483</v>
      </c>
      <c r="J20" s="2"/>
      <c r="K20" s="1">
        <v>0.72</v>
      </c>
      <c r="L20" s="1">
        <v>1</v>
      </c>
      <c r="M20" s="1">
        <v>7</v>
      </c>
      <c r="N20" s="1">
        <v>1</v>
      </c>
      <c r="O20" s="1">
        <v>9</v>
      </c>
      <c r="P20" s="1">
        <v>1</v>
      </c>
      <c r="Q20" s="1">
        <v>6</v>
      </c>
      <c r="R20" s="1">
        <v>1</v>
      </c>
      <c r="S20" s="1">
        <v>7</v>
      </c>
      <c r="T20" s="1">
        <v>1</v>
      </c>
      <c r="U20" s="1">
        <v>1</v>
      </c>
      <c r="V20" s="1">
        <v>346</v>
      </c>
      <c r="W20" s="1">
        <v>0</v>
      </c>
      <c r="X20" s="1">
        <v>2</v>
      </c>
      <c r="Y20" s="1">
        <v>1296</v>
      </c>
      <c r="Z20" s="1">
        <v>1</v>
      </c>
      <c r="AA20" s="1">
        <v>2</v>
      </c>
      <c r="AB20" s="1">
        <v>1</v>
      </c>
      <c r="AC20" s="1">
        <v>32</v>
      </c>
      <c r="AD20" s="1">
        <v>0</v>
      </c>
      <c r="AE20" s="2">
        <v>3</v>
      </c>
      <c r="AF20" s="2">
        <v>44</v>
      </c>
      <c r="AG20" s="2">
        <v>1</v>
      </c>
      <c r="AH20" s="2">
        <v>0</v>
      </c>
      <c r="AI20" s="2">
        <v>4</v>
      </c>
    </row>
    <row r="21" spans="1:35" x14ac:dyDescent="0.55000000000000004">
      <c r="A21" s="1">
        <v>1</v>
      </c>
      <c r="B21" s="1">
        <v>230</v>
      </c>
      <c r="C21" s="1">
        <v>1</v>
      </c>
      <c r="K21" s="2"/>
      <c r="L21" s="1">
        <v>1</v>
      </c>
      <c r="M21" s="1">
        <v>8</v>
      </c>
      <c r="N21" s="1">
        <v>1</v>
      </c>
      <c r="O21" s="1">
        <v>15</v>
      </c>
      <c r="P21" s="1">
        <v>1</v>
      </c>
      <c r="Q21" s="1">
        <v>8</v>
      </c>
      <c r="R21" s="1">
        <v>1</v>
      </c>
      <c r="S21" s="1">
        <v>0</v>
      </c>
      <c r="T21" s="1">
        <v>0</v>
      </c>
      <c r="U21" s="1">
        <v>2</v>
      </c>
      <c r="V21" s="1">
        <v>4</v>
      </c>
      <c r="W21" s="1">
        <v>1</v>
      </c>
      <c r="X21" s="1">
        <v>1</v>
      </c>
      <c r="Y21" s="1">
        <v>1296</v>
      </c>
      <c r="Z21" s="1">
        <v>0</v>
      </c>
      <c r="AA21" s="1">
        <v>2</v>
      </c>
      <c r="AB21" s="1">
        <v>1</v>
      </c>
      <c r="AC21" s="1">
        <v>34</v>
      </c>
      <c r="AD21" s="1">
        <v>0</v>
      </c>
      <c r="AE21" s="2">
        <v>2</v>
      </c>
      <c r="AF21" s="2">
        <v>38</v>
      </c>
      <c r="AG21" s="2">
        <v>0</v>
      </c>
      <c r="AH21" s="2">
        <v>1</v>
      </c>
      <c r="AI21" s="2">
        <v>3</v>
      </c>
    </row>
    <row r="22" spans="1:35" x14ac:dyDescent="0.55000000000000004">
      <c r="A22" s="1">
        <v>2</v>
      </c>
      <c r="B22" s="1">
        <v>232</v>
      </c>
      <c r="C22" s="1">
        <v>1</v>
      </c>
      <c r="L22" s="1">
        <v>1</v>
      </c>
      <c r="M22" s="1">
        <v>18</v>
      </c>
      <c r="N22" s="1">
        <v>0</v>
      </c>
      <c r="O22" s="1">
        <v>27</v>
      </c>
      <c r="P22" s="1">
        <v>0</v>
      </c>
      <c r="Q22" s="1">
        <v>18</v>
      </c>
      <c r="R22" s="1">
        <v>0</v>
      </c>
      <c r="S22" s="1">
        <v>9</v>
      </c>
      <c r="T22" s="1">
        <v>1</v>
      </c>
      <c r="U22" s="1">
        <v>2</v>
      </c>
      <c r="V22" s="1">
        <v>6</v>
      </c>
      <c r="W22" s="1">
        <v>1</v>
      </c>
      <c r="X22" s="1">
        <v>1</v>
      </c>
      <c r="Y22" s="1">
        <v>1328</v>
      </c>
      <c r="Z22" s="1">
        <v>0</v>
      </c>
      <c r="AA22" s="1">
        <v>2</v>
      </c>
      <c r="AB22" s="1">
        <v>1</v>
      </c>
      <c r="AC22" s="1">
        <v>35</v>
      </c>
      <c r="AD22" s="1">
        <v>0</v>
      </c>
      <c r="AE22" s="2">
        <v>2</v>
      </c>
      <c r="AF22" s="2">
        <v>40</v>
      </c>
      <c r="AG22" s="2">
        <v>0</v>
      </c>
      <c r="AH22" s="2">
        <v>0</v>
      </c>
      <c r="AI22" s="2">
        <v>4</v>
      </c>
    </row>
    <row r="23" spans="1:35" x14ac:dyDescent="0.55000000000000004">
      <c r="A23" s="1">
        <v>2</v>
      </c>
      <c r="B23" s="1">
        <v>232</v>
      </c>
      <c r="C23" s="1">
        <v>1</v>
      </c>
      <c r="L23" s="1">
        <v>1</v>
      </c>
      <c r="M23" s="1">
        <v>16</v>
      </c>
      <c r="N23" s="1">
        <v>1</v>
      </c>
      <c r="O23" s="1">
        <v>14</v>
      </c>
      <c r="P23" s="1">
        <v>1</v>
      </c>
      <c r="Q23" s="1">
        <v>14</v>
      </c>
      <c r="R23" s="1">
        <v>1</v>
      </c>
      <c r="S23" s="1">
        <v>6</v>
      </c>
      <c r="T23" s="1">
        <v>1</v>
      </c>
      <c r="U23" s="1">
        <v>2</v>
      </c>
      <c r="V23" s="1">
        <v>10</v>
      </c>
      <c r="W23" s="1">
        <v>1</v>
      </c>
      <c r="X23" s="1">
        <v>1</v>
      </c>
      <c r="Y23" s="1">
        <v>1460</v>
      </c>
      <c r="Z23" s="1">
        <v>0</v>
      </c>
      <c r="AA23" s="1">
        <v>2</v>
      </c>
      <c r="AB23" s="1">
        <v>2</v>
      </c>
      <c r="AC23" s="1">
        <v>1</v>
      </c>
      <c r="AD23" s="1">
        <v>1</v>
      </c>
      <c r="AE23" s="2">
        <v>6</v>
      </c>
      <c r="AF23" s="2">
        <v>34</v>
      </c>
      <c r="AG23" s="2">
        <v>1</v>
      </c>
      <c r="AH23" s="2">
        <v>1</v>
      </c>
      <c r="AI23" s="2">
        <v>2</v>
      </c>
    </row>
    <row r="24" spans="1:35" x14ac:dyDescent="0.55000000000000004">
      <c r="A24" s="1">
        <v>2</v>
      </c>
      <c r="B24" s="1">
        <v>232</v>
      </c>
      <c r="C24" s="1">
        <v>1</v>
      </c>
      <c r="L24" s="1">
        <v>1</v>
      </c>
      <c r="M24" s="1">
        <v>15</v>
      </c>
      <c r="N24" s="1">
        <v>1</v>
      </c>
      <c r="O24" s="1">
        <v>9</v>
      </c>
      <c r="P24" s="1">
        <v>1</v>
      </c>
      <c r="Q24" s="1">
        <v>12</v>
      </c>
      <c r="R24" s="1">
        <v>1</v>
      </c>
      <c r="S24" s="1">
        <v>12</v>
      </c>
      <c r="T24" s="1">
        <v>1</v>
      </c>
      <c r="U24" s="1">
        <v>2</v>
      </c>
      <c r="V24" s="1">
        <v>11</v>
      </c>
      <c r="W24" s="1">
        <v>1</v>
      </c>
      <c r="X24" s="1">
        <v>1</v>
      </c>
      <c r="Y24" s="1">
        <v>1976</v>
      </c>
      <c r="Z24" s="1">
        <v>0</v>
      </c>
      <c r="AA24" s="1">
        <v>2</v>
      </c>
      <c r="AB24" s="1">
        <v>2</v>
      </c>
      <c r="AC24" s="1">
        <v>1</v>
      </c>
      <c r="AD24" s="1">
        <v>1</v>
      </c>
      <c r="AE24" s="2">
        <v>60</v>
      </c>
      <c r="AF24" s="2">
        <v>25</v>
      </c>
      <c r="AG24" s="2">
        <v>0</v>
      </c>
      <c r="AH24" s="2">
        <v>0</v>
      </c>
      <c r="AI24" s="2">
        <v>1</v>
      </c>
    </row>
    <row r="25" spans="1:35" x14ac:dyDescent="0.55000000000000004">
      <c r="A25" s="1">
        <v>2</v>
      </c>
      <c r="B25" s="1">
        <v>233</v>
      </c>
      <c r="C25" s="1">
        <v>1</v>
      </c>
      <c r="L25" s="1">
        <v>2</v>
      </c>
      <c r="M25" s="1">
        <v>4</v>
      </c>
      <c r="N25" s="1">
        <v>1</v>
      </c>
      <c r="O25" s="1">
        <v>5</v>
      </c>
      <c r="P25" s="1">
        <v>1</v>
      </c>
      <c r="Q25" s="1">
        <v>4</v>
      </c>
      <c r="R25" s="1">
        <v>1</v>
      </c>
      <c r="S25" s="1">
        <v>3</v>
      </c>
      <c r="T25" s="1">
        <v>1</v>
      </c>
      <c r="U25" s="1">
        <v>2</v>
      </c>
      <c r="V25" s="1">
        <v>11</v>
      </c>
      <c r="W25" s="1">
        <v>1</v>
      </c>
      <c r="X25" s="1">
        <v>2</v>
      </c>
      <c r="Y25" s="1">
        <v>1990</v>
      </c>
      <c r="Z25" s="1">
        <v>0</v>
      </c>
      <c r="AA25" s="1">
        <v>2</v>
      </c>
      <c r="AB25" s="1">
        <v>2</v>
      </c>
      <c r="AC25" s="1">
        <v>2</v>
      </c>
      <c r="AD25" s="1">
        <v>1</v>
      </c>
      <c r="AE25" s="2">
        <v>11</v>
      </c>
      <c r="AF25" s="2">
        <v>32</v>
      </c>
      <c r="AG25" s="2">
        <v>0</v>
      </c>
      <c r="AH25" s="2">
        <v>1</v>
      </c>
      <c r="AI25" s="2">
        <v>2</v>
      </c>
    </row>
    <row r="26" spans="1:35" x14ac:dyDescent="0.55000000000000004">
      <c r="A26" s="1">
        <v>2</v>
      </c>
      <c r="B26" s="1">
        <v>233</v>
      </c>
      <c r="C26" s="1">
        <v>1</v>
      </c>
      <c r="L26" s="1">
        <v>2</v>
      </c>
      <c r="M26" s="1">
        <v>8</v>
      </c>
      <c r="N26" s="1">
        <v>1</v>
      </c>
      <c r="O26" s="1">
        <v>22</v>
      </c>
      <c r="P26" s="1">
        <v>1</v>
      </c>
      <c r="Q26" s="1">
        <v>25</v>
      </c>
      <c r="R26" s="1">
        <v>0</v>
      </c>
      <c r="S26" s="1">
        <v>0</v>
      </c>
      <c r="T26" s="1">
        <v>0</v>
      </c>
      <c r="U26" s="1">
        <v>2</v>
      </c>
      <c r="V26" s="1">
        <v>11</v>
      </c>
      <c r="W26" s="1">
        <v>1</v>
      </c>
      <c r="X26" s="1">
        <v>2</v>
      </c>
      <c r="Y26" s="1">
        <v>2240</v>
      </c>
      <c r="Z26" s="1">
        <v>0</v>
      </c>
      <c r="AA26" s="1">
        <v>2</v>
      </c>
      <c r="AB26" s="1">
        <v>2</v>
      </c>
      <c r="AC26" s="1">
        <v>2</v>
      </c>
      <c r="AD26" s="1">
        <v>1</v>
      </c>
      <c r="AE26" s="2">
        <v>2</v>
      </c>
      <c r="AF26" s="2">
        <v>42</v>
      </c>
      <c r="AG26" s="2">
        <v>1</v>
      </c>
      <c r="AH26" s="2">
        <v>0</v>
      </c>
      <c r="AI26" s="2">
        <v>4</v>
      </c>
    </row>
    <row r="27" spans="1:35" x14ac:dyDescent="0.55000000000000004">
      <c r="A27" s="1">
        <v>2</v>
      </c>
      <c r="B27" s="1">
        <v>233</v>
      </c>
      <c r="C27" s="1">
        <v>1</v>
      </c>
      <c r="L27" s="1">
        <v>2</v>
      </c>
      <c r="M27" s="1">
        <v>6</v>
      </c>
      <c r="N27" s="1">
        <v>1</v>
      </c>
      <c r="O27" s="1">
        <v>6</v>
      </c>
      <c r="P27" s="1">
        <v>1</v>
      </c>
      <c r="Q27" s="1">
        <v>8</v>
      </c>
      <c r="R27" s="1">
        <v>1</v>
      </c>
      <c r="S27" s="1">
        <v>5</v>
      </c>
      <c r="T27" s="1">
        <v>1</v>
      </c>
      <c r="U27" s="1">
        <v>2</v>
      </c>
      <c r="V27" s="1">
        <v>13</v>
      </c>
      <c r="W27" s="1">
        <v>1</v>
      </c>
      <c r="AB27" s="1">
        <v>2</v>
      </c>
      <c r="AC27" s="1">
        <v>3</v>
      </c>
      <c r="AD27" s="1">
        <v>1</v>
      </c>
      <c r="AE27" s="2">
        <v>5</v>
      </c>
      <c r="AF27" s="2">
        <v>47</v>
      </c>
      <c r="AG27" s="2">
        <v>0</v>
      </c>
      <c r="AH27" s="2">
        <v>1</v>
      </c>
      <c r="AI27" s="2">
        <v>4</v>
      </c>
    </row>
    <row r="28" spans="1:35" x14ac:dyDescent="0.55000000000000004">
      <c r="A28" s="1">
        <v>2</v>
      </c>
      <c r="B28" s="1">
        <v>233</v>
      </c>
      <c r="C28" s="1">
        <v>1</v>
      </c>
      <c r="L28" s="1">
        <v>2</v>
      </c>
      <c r="M28" s="1">
        <v>7</v>
      </c>
      <c r="N28" s="1">
        <v>1</v>
      </c>
      <c r="O28" s="1">
        <v>10</v>
      </c>
      <c r="P28" s="1">
        <v>1</v>
      </c>
      <c r="Q28" s="1">
        <v>10</v>
      </c>
      <c r="R28" s="1">
        <v>1</v>
      </c>
      <c r="S28" s="1">
        <v>18</v>
      </c>
      <c r="T28" s="1">
        <v>1</v>
      </c>
      <c r="U28" s="1">
        <v>2</v>
      </c>
      <c r="V28" s="1">
        <v>17</v>
      </c>
      <c r="W28" s="1">
        <v>1</v>
      </c>
      <c r="AB28" s="1">
        <v>2</v>
      </c>
      <c r="AC28" s="1">
        <v>4</v>
      </c>
      <c r="AD28" s="1">
        <v>1</v>
      </c>
      <c r="AE28" s="2">
        <v>4</v>
      </c>
      <c r="AF28" s="2">
        <v>30</v>
      </c>
      <c r="AG28" s="2">
        <v>0</v>
      </c>
      <c r="AH28" s="2">
        <v>0</v>
      </c>
      <c r="AI28" s="2">
        <v>2</v>
      </c>
    </row>
    <row r="29" spans="1:35" x14ac:dyDescent="0.55000000000000004">
      <c r="A29" s="1">
        <v>1</v>
      </c>
      <c r="B29" s="1">
        <v>235</v>
      </c>
      <c r="C29" s="1">
        <v>1</v>
      </c>
      <c r="L29" s="1">
        <v>2</v>
      </c>
      <c r="M29" s="1">
        <v>5</v>
      </c>
      <c r="N29" s="1">
        <v>1</v>
      </c>
      <c r="O29" s="1">
        <v>14</v>
      </c>
      <c r="P29" s="1">
        <v>1</v>
      </c>
      <c r="Q29" s="1">
        <v>17</v>
      </c>
      <c r="R29" s="1">
        <v>0</v>
      </c>
      <c r="S29" s="1">
        <v>6</v>
      </c>
      <c r="T29" s="1">
        <v>1</v>
      </c>
      <c r="U29" s="1">
        <v>2</v>
      </c>
      <c r="V29" s="1">
        <v>20</v>
      </c>
      <c r="W29" s="1">
        <v>1</v>
      </c>
      <c r="AB29" s="1">
        <v>2</v>
      </c>
      <c r="AC29" s="1">
        <v>4</v>
      </c>
      <c r="AD29" s="1">
        <v>1</v>
      </c>
      <c r="AE29" s="2">
        <v>1</v>
      </c>
      <c r="AF29" s="2">
        <v>47</v>
      </c>
      <c r="AG29" s="2">
        <v>1</v>
      </c>
      <c r="AH29" s="2">
        <v>1</v>
      </c>
      <c r="AI29" s="2">
        <v>4</v>
      </c>
    </row>
    <row r="30" spans="1:35" x14ac:dyDescent="0.55000000000000004">
      <c r="A30" s="1">
        <v>2</v>
      </c>
      <c r="B30" s="1">
        <v>239</v>
      </c>
      <c r="C30" s="1">
        <v>1</v>
      </c>
      <c r="L30" s="1">
        <v>2</v>
      </c>
      <c r="M30" s="1">
        <v>3</v>
      </c>
      <c r="N30" s="1">
        <v>1</v>
      </c>
      <c r="O30" s="1">
        <v>5</v>
      </c>
      <c r="P30" s="1">
        <v>1</v>
      </c>
      <c r="Q30" s="1">
        <v>8</v>
      </c>
      <c r="R30" s="1">
        <v>1</v>
      </c>
      <c r="S30" s="1">
        <v>6</v>
      </c>
      <c r="T30" s="1">
        <v>1</v>
      </c>
      <c r="U30" s="1">
        <v>2</v>
      </c>
      <c r="V30" s="1">
        <v>20</v>
      </c>
      <c r="W30" s="1">
        <v>1</v>
      </c>
      <c r="AB30" s="1">
        <v>2</v>
      </c>
      <c r="AC30" s="1">
        <v>5</v>
      </c>
      <c r="AD30" s="1">
        <v>1</v>
      </c>
      <c r="AE30" s="2">
        <v>13</v>
      </c>
      <c r="AF30" s="2">
        <v>41</v>
      </c>
      <c r="AG30" s="2">
        <v>0</v>
      </c>
      <c r="AH30" s="2">
        <v>1</v>
      </c>
      <c r="AI30" s="2">
        <v>4</v>
      </c>
    </row>
    <row r="31" spans="1:35" x14ac:dyDescent="0.55000000000000004">
      <c r="A31" s="1">
        <v>2</v>
      </c>
      <c r="B31" s="1">
        <v>240</v>
      </c>
      <c r="C31" s="1">
        <v>1</v>
      </c>
      <c r="L31" s="1">
        <v>2</v>
      </c>
      <c r="M31" s="1">
        <v>6</v>
      </c>
      <c r="N31" s="1">
        <v>1</v>
      </c>
      <c r="O31" s="1">
        <v>11</v>
      </c>
      <c r="P31" s="1">
        <v>1</v>
      </c>
      <c r="Q31" s="1">
        <v>6</v>
      </c>
      <c r="R31" s="1">
        <v>1</v>
      </c>
      <c r="S31" s="1">
        <v>13</v>
      </c>
      <c r="T31" s="1">
        <v>1</v>
      </c>
      <c r="U31" s="1">
        <v>2</v>
      </c>
      <c r="V31" s="1">
        <v>21</v>
      </c>
      <c r="W31" s="1">
        <v>1</v>
      </c>
      <c r="AB31" s="1">
        <v>2</v>
      </c>
      <c r="AC31" s="1">
        <v>5</v>
      </c>
      <c r="AD31" s="1">
        <v>1</v>
      </c>
      <c r="AE31" s="2">
        <v>3</v>
      </c>
      <c r="AF31" s="2">
        <v>40</v>
      </c>
      <c r="AG31" s="2">
        <v>1</v>
      </c>
      <c r="AH31" s="2">
        <v>1</v>
      </c>
      <c r="AI31" s="2">
        <v>4</v>
      </c>
    </row>
    <row r="32" spans="1:35" x14ac:dyDescent="0.55000000000000004">
      <c r="A32" s="1">
        <v>1</v>
      </c>
      <c r="B32" s="1">
        <v>244</v>
      </c>
      <c r="C32" s="1">
        <v>0</v>
      </c>
      <c r="L32" s="1">
        <v>2</v>
      </c>
      <c r="M32" s="1">
        <v>6</v>
      </c>
      <c r="N32" s="1">
        <v>1</v>
      </c>
      <c r="O32" s="1">
        <v>0</v>
      </c>
      <c r="P32" s="1">
        <v>0</v>
      </c>
      <c r="Q32" s="1">
        <v>15</v>
      </c>
      <c r="R32" s="1">
        <v>1</v>
      </c>
      <c r="S32" s="1">
        <v>7</v>
      </c>
      <c r="T32" s="1">
        <v>1</v>
      </c>
      <c r="U32" s="1">
        <v>2</v>
      </c>
      <c r="V32" s="1">
        <v>22</v>
      </c>
      <c r="W32" s="1">
        <v>1</v>
      </c>
      <c r="AB32" s="1">
        <v>2</v>
      </c>
      <c r="AC32" s="1">
        <v>8</v>
      </c>
      <c r="AD32" s="1">
        <v>1</v>
      </c>
      <c r="AE32" s="2">
        <v>2</v>
      </c>
      <c r="AF32" s="2">
        <v>43</v>
      </c>
      <c r="AG32" s="2">
        <v>0</v>
      </c>
      <c r="AH32" s="2">
        <v>1</v>
      </c>
      <c r="AI32" s="2">
        <v>4</v>
      </c>
    </row>
    <row r="33" spans="1:35" x14ac:dyDescent="0.55000000000000004">
      <c r="A33" s="1">
        <v>1</v>
      </c>
      <c r="B33" s="1">
        <v>246</v>
      </c>
      <c r="C33" s="1">
        <v>1</v>
      </c>
      <c r="L33" s="1">
        <v>2</v>
      </c>
      <c r="M33" s="1">
        <v>6</v>
      </c>
      <c r="N33" s="1">
        <v>1</v>
      </c>
      <c r="O33" s="1">
        <v>12</v>
      </c>
      <c r="P33" s="1">
        <v>1</v>
      </c>
      <c r="Q33" s="1">
        <v>19</v>
      </c>
      <c r="R33" s="1">
        <v>1</v>
      </c>
      <c r="S33" s="1">
        <v>8</v>
      </c>
      <c r="T33" s="1">
        <v>1</v>
      </c>
      <c r="U33" s="1">
        <v>2</v>
      </c>
      <c r="V33" s="1">
        <v>24</v>
      </c>
      <c r="W33" s="1">
        <v>1</v>
      </c>
      <c r="AB33" s="1">
        <v>2</v>
      </c>
      <c r="AC33" s="1">
        <v>8</v>
      </c>
      <c r="AD33" s="1">
        <v>1</v>
      </c>
      <c r="AE33" s="2">
        <v>1</v>
      </c>
      <c r="AF33" s="2">
        <v>41</v>
      </c>
      <c r="AG33" s="2">
        <v>0</v>
      </c>
      <c r="AH33" s="2">
        <v>1</v>
      </c>
      <c r="AI33" s="2">
        <v>4</v>
      </c>
    </row>
    <row r="34" spans="1:35" x14ac:dyDescent="0.55000000000000004">
      <c r="A34" s="1">
        <v>2</v>
      </c>
      <c r="B34" s="1">
        <v>261</v>
      </c>
      <c r="C34" s="1">
        <v>1</v>
      </c>
      <c r="L34" s="1">
        <v>2</v>
      </c>
      <c r="M34" s="1">
        <v>6</v>
      </c>
      <c r="N34" s="1">
        <v>1</v>
      </c>
      <c r="O34" s="1">
        <v>25</v>
      </c>
      <c r="P34" s="1">
        <v>0</v>
      </c>
      <c r="Q34" s="1">
        <v>0</v>
      </c>
      <c r="R34" s="1">
        <v>0</v>
      </c>
      <c r="S34" s="1">
        <v>22</v>
      </c>
      <c r="T34" s="1">
        <v>0</v>
      </c>
      <c r="U34" s="1">
        <v>2</v>
      </c>
      <c r="V34" s="1">
        <v>24</v>
      </c>
      <c r="W34" s="1">
        <v>1</v>
      </c>
      <c r="AB34" s="1">
        <v>2</v>
      </c>
      <c r="AC34" s="1">
        <v>8</v>
      </c>
      <c r="AD34" s="1">
        <v>1</v>
      </c>
      <c r="AE34" s="2">
        <v>30</v>
      </c>
      <c r="AF34" s="2">
        <v>30</v>
      </c>
      <c r="AG34" s="2">
        <v>0</v>
      </c>
      <c r="AH34" s="2">
        <v>1</v>
      </c>
      <c r="AI34" s="2">
        <v>2</v>
      </c>
    </row>
    <row r="35" spans="1:35" x14ac:dyDescent="0.55000000000000004">
      <c r="A35" s="1">
        <v>1</v>
      </c>
      <c r="B35" s="1">
        <v>265</v>
      </c>
      <c r="C35" s="1">
        <v>1</v>
      </c>
      <c r="L35" s="1">
        <v>2</v>
      </c>
      <c r="M35" s="1">
        <v>4</v>
      </c>
      <c r="N35" s="1">
        <v>1</v>
      </c>
      <c r="O35" s="1">
        <v>7</v>
      </c>
      <c r="P35" s="1">
        <v>1</v>
      </c>
      <c r="Q35" s="1">
        <v>5</v>
      </c>
      <c r="R35" s="1">
        <v>1</v>
      </c>
      <c r="S35" s="1">
        <v>7</v>
      </c>
      <c r="T35" s="1">
        <v>1</v>
      </c>
      <c r="U35" s="1">
        <v>2</v>
      </c>
      <c r="V35" s="1">
        <v>29</v>
      </c>
      <c r="W35" s="1">
        <v>1</v>
      </c>
      <c r="AB35" s="1">
        <v>2</v>
      </c>
      <c r="AC35" s="1">
        <v>8</v>
      </c>
      <c r="AD35" s="1">
        <v>1</v>
      </c>
      <c r="AE35" s="2">
        <v>7</v>
      </c>
      <c r="AF35" s="2">
        <v>37</v>
      </c>
      <c r="AG35" s="2">
        <v>0</v>
      </c>
      <c r="AH35" s="2">
        <v>1</v>
      </c>
      <c r="AI35" s="2">
        <v>3</v>
      </c>
    </row>
    <row r="36" spans="1:35" x14ac:dyDescent="0.55000000000000004">
      <c r="A36" s="1">
        <v>2</v>
      </c>
      <c r="B36" s="1">
        <v>280</v>
      </c>
      <c r="C36" s="1">
        <v>1</v>
      </c>
      <c r="L36" s="1">
        <v>2</v>
      </c>
      <c r="M36" s="1">
        <v>5</v>
      </c>
      <c r="N36" s="1">
        <v>1</v>
      </c>
      <c r="O36" s="1">
        <v>7</v>
      </c>
      <c r="P36" s="1">
        <v>1</v>
      </c>
      <c r="Q36" s="1">
        <v>4</v>
      </c>
      <c r="R36" s="1">
        <v>1</v>
      </c>
      <c r="S36" s="1">
        <v>6</v>
      </c>
      <c r="T36" s="1">
        <v>1</v>
      </c>
      <c r="U36" s="1">
        <v>2</v>
      </c>
      <c r="V36" s="1">
        <v>30</v>
      </c>
      <c r="W36" s="1">
        <v>1</v>
      </c>
      <c r="AB36" s="1">
        <v>2</v>
      </c>
      <c r="AC36" s="1">
        <v>11</v>
      </c>
      <c r="AD36" s="1">
        <v>1</v>
      </c>
      <c r="AE36" s="2">
        <v>4</v>
      </c>
      <c r="AF36" s="2">
        <v>42</v>
      </c>
      <c r="AG36" s="2">
        <v>1</v>
      </c>
      <c r="AH36" s="2">
        <v>1</v>
      </c>
      <c r="AI36" s="2">
        <v>4</v>
      </c>
    </row>
    <row r="37" spans="1:35" x14ac:dyDescent="0.55000000000000004">
      <c r="A37" s="1">
        <v>2</v>
      </c>
      <c r="B37" s="1">
        <v>280</v>
      </c>
      <c r="C37" s="1">
        <v>1</v>
      </c>
      <c r="L37" s="1">
        <v>2</v>
      </c>
      <c r="M37" s="1">
        <v>3</v>
      </c>
      <c r="N37" s="1">
        <v>1</v>
      </c>
      <c r="O37" s="1">
        <v>9</v>
      </c>
      <c r="P37" s="1">
        <v>1</v>
      </c>
      <c r="Q37" s="1">
        <v>7</v>
      </c>
      <c r="R37" s="1">
        <v>1</v>
      </c>
      <c r="S37" s="1">
        <v>6</v>
      </c>
      <c r="T37" s="1">
        <v>1</v>
      </c>
      <c r="U37" s="1">
        <v>2</v>
      </c>
      <c r="V37" s="1">
        <v>30</v>
      </c>
      <c r="W37" s="1">
        <v>1</v>
      </c>
      <c r="AB37" s="1">
        <v>2</v>
      </c>
      <c r="AC37" s="1">
        <v>11</v>
      </c>
      <c r="AD37" s="1">
        <v>1</v>
      </c>
      <c r="AE37" s="2">
        <v>8</v>
      </c>
      <c r="AF37" s="2">
        <v>31</v>
      </c>
      <c r="AG37" s="2">
        <v>1</v>
      </c>
      <c r="AH37" s="2">
        <v>1</v>
      </c>
      <c r="AI37" s="2">
        <v>2</v>
      </c>
    </row>
    <row r="38" spans="1:35" x14ac:dyDescent="0.55000000000000004">
      <c r="A38" s="1">
        <v>2</v>
      </c>
      <c r="B38" s="1">
        <v>295</v>
      </c>
      <c r="C38" s="1">
        <v>1</v>
      </c>
      <c r="L38" s="1">
        <v>2</v>
      </c>
      <c r="M38" s="1">
        <v>9</v>
      </c>
      <c r="N38" s="1">
        <v>1</v>
      </c>
      <c r="O38" s="1">
        <v>17</v>
      </c>
      <c r="P38" s="1">
        <v>1</v>
      </c>
      <c r="Q38" s="1">
        <v>0</v>
      </c>
      <c r="R38" s="1">
        <v>0</v>
      </c>
      <c r="S38" s="1">
        <v>21</v>
      </c>
      <c r="T38" s="1">
        <v>0</v>
      </c>
      <c r="U38" s="1">
        <v>2</v>
      </c>
      <c r="V38" s="1">
        <v>31</v>
      </c>
      <c r="W38" s="1">
        <v>1</v>
      </c>
      <c r="AB38" s="1">
        <v>2</v>
      </c>
      <c r="AC38" s="1">
        <v>12</v>
      </c>
      <c r="AD38" s="1">
        <v>1</v>
      </c>
      <c r="AE38" s="2">
        <v>5</v>
      </c>
      <c r="AF38" s="2">
        <v>39</v>
      </c>
      <c r="AG38" s="2">
        <v>1</v>
      </c>
      <c r="AH38" s="2">
        <v>1</v>
      </c>
      <c r="AI38" s="2">
        <v>3</v>
      </c>
    </row>
    <row r="39" spans="1:35" x14ac:dyDescent="0.55000000000000004">
      <c r="A39" s="1">
        <v>2</v>
      </c>
      <c r="B39" s="1">
        <v>295</v>
      </c>
      <c r="C39" s="1">
        <v>1</v>
      </c>
      <c r="L39" s="1">
        <v>2</v>
      </c>
      <c r="M39" s="1">
        <v>6</v>
      </c>
      <c r="N39" s="1">
        <v>1</v>
      </c>
      <c r="O39" s="1">
        <v>4</v>
      </c>
      <c r="P39" s="1">
        <v>1</v>
      </c>
      <c r="Q39" s="1">
        <v>8</v>
      </c>
      <c r="R39" s="1">
        <v>1</v>
      </c>
      <c r="S39" s="1">
        <v>14</v>
      </c>
      <c r="T39" s="1">
        <v>1</v>
      </c>
      <c r="U39" s="1">
        <v>2</v>
      </c>
      <c r="V39" s="1">
        <v>33</v>
      </c>
      <c r="W39" s="1">
        <v>1</v>
      </c>
      <c r="AB39" s="1">
        <v>2</v>
      </c>
      <c r="AC39" s="1">
        <v>12</v>
      </c>
      <c r="AD39" s="1">
        <v>1</v>
      </c>
      <c r="AE39" s="2">
        <v>10</v>
      </c>
      <c r="AF39" s="2">
        <v>32</v>
      </c>
      <c r="AG39" s="2">
        <v>0</v>
      </c>
      <c r="AH39" s="2">
        <v>1</v>
      </c>
      <c r="AI39" s="2">
        <v>2</v>
      </c>
    </row>
    <row r="40" spans="1:35" x14ac:dyDescent="0.55000000000000004">
      <c r="A40" s="1">
        <v>1</v>
      </c>
      <c r="B40" s="1">
        <v>303</v>
      </c>
      <c r="C40" s="1">
        <v>1</v>
      </c>
      <c r="L40" s="1">
        <v>2</v>
      </c>
      <c r="M40" s="1">
        <v>5</v>
      </c>
      <c r="N40" s="1">
        <v>1</v>
      </c>
      <c r="O40" s="1">
        <v>5</v>
      </c>
      <c r="P40" s="1">
        <v>1</v>
      </c>
      <c r="Q40" s="1">
        <v>7</v>
      </c>
      <c r="R40" s="1">
        <v>1</v>
      </c>
      <c r="S40" s="1">
        <v>16</v>
      </c>
      <c r="T40" s="1">
        <v>0</v>
      </c>
      <c r="U40" s="1">
        <v>2</v>
      </c>
      <c r="V40" s="1">
        <v>34</v>
      </c>
      <c r="W40" s="1">
        <v>1</v>
      </c>
      <c r="AB40" s="1">
        <v>2</v>
      </c>
      <c r="AC40" s="1">
        <v>15</v>
      </c>
      <c r="AD40" s="1">
        <v>1</v>
      </c>
      <c r="AE40" s="2">
        <v>2</v>
      </c>
      <c r="AF40" s="2">
        <v>51</v>
      </c>
      <c r="AG40" s="2">
        <v>0</v>
      </c>
      <c r="AH40" s="2">
        <v>1</v>
      </c>
      <c r="AI40" s="2">
        <v>4</v>
      </c>
    </row>
    <row r="41" spans="1:35" x14ac:dyDescent="0.55000000000000004">
      <c r="A41" s="1">
        <v>2</v>
      </c>
      <c r="B41" s="1">
        <v>323</v>
      </c>
      <c r="C41" s="1">
        <v>1</v>
      </c>
      <c r="L41" s="1">
        <v>2</v>
      </c>
      <c r="M41" s="1">
        <v>12</v>
      </c>
      <c r="N41" s="1">
        <v>1</v>
      </c>
      <c r="O41" s="1">
        <v>18</v>
      </c>
      <c r="P41" s="1">
        <v>0</v>
      </c>
      <c r="Q41" s="1">
        <v>14</v>
      </c>
      <c r="R41" s="1">
        <v>1</v>
      </c>
      <c r="S41" s="1">
        <v>0</v>
      </c>
      <c r="T41" s="1">
        <v>0</v>
      </c>
      <c r="U41" s="1">
        <v>2</v>
      </c>
      <c r="V41" s="1">
        <v>35</v>
      </c>
      <c r="W41" s="1">
        <v>1</v>
      </c>
      <c r="AB41" s="1">
        <v>2</v>
      </c>
      <c r="AC41" s="1">
        <v>17</v>
      </c>
      <c r="AD41" s="1">
        <v>1</v>
      </c>
      <c r="AE41" s="2">
        <v>9</v>
      </c>
      <c r="AF41" s="2">
        <v>36</v>
      </c>
      <c r="AG41" s="2">
        <v>0</v>
      </c>
      <c r="AH41" s="2">
        <v>1</v>
      </c>
      <c r="AI41" s="2">
        <v>3</v>
      </c>
    </row>
    <row r="42" spans="1:35" x14ac:dyDescent="0.55000000000000004">
      <c r="A42" s="1">
        <v>2</v>
      </c>
      <c r="B42" s="1">
        <v>344</v>
      </c>
      <c r="C42" s="1">
        <v>0</v>
      </c>
      <c r="L42" s="1">
        <v>2</v>
      </c>
      <c r="M42" s="1">
        <v>9</v>
      </c>
      <c r="N42" s="1">
        <v>1</v>
      </c>
      <c r="O42" s="1">
        <v>11</v>
      </c>
      <c r="P42" s="1">
        <v>1</v>
      </c>
      <c r="Q42" s="1">
        <v>15</v>
      </c>
      <c r="R42" s="1">
        <v>1</v>
      </c>
      <c r="S42" s="1">
        <v>18</v>
      </c>
      <c r="T42" s="1">
        <v>0</v>
      </c>
      <c r="U42" s="1">
        <v>2</v>
      </c>
      <c r="V42" s="1">
        <v>39</v>
      </c>
      <c r="W42" s="1">
        <v>1</v>
      </c>
      <c r="AB42" s="1">
        <v>2</v>
      </c>
      <c r="AC42" s="1">
        <v>22</v>
      </c>
      <c r="AD42" s="1">
        <v>1</v>
      </c>
      <c r="AE42" s="2">
        <v>36</v>
      </c>
      <c r="AF42" s="2">
        <v>43</v>
      </c>
      <c r="AG42" s="2">
        <v>0</v>
      </c>
      <c r="AH42" s="2">
        <v>1</v>
      </c>
      <c r="AI42" s="2">
        <v>4</v>
      </c>
    </row>
    <row r="43" spans="1:35" x14ac:dyDescent="0.55000000000000004">
      <c r="L43" s="1">
        <v>2</v>
      </c>
      <c r="M43" s="1">
        <v>6</v>
      </c>
      <c r="N43" s="1">
        <v>1</v>
      </c>
      <c r="O43" s="1">
        <v>5</v>
      </c>
      <c r="P43" s="1">
        <v>1</v>
      </c>
      <c r="Q43" s="1">
        <v>9</v>
      </c>
      <c r="R43" s="1">
        <v>1</v>
      </c>
      <c r="S43" s="1">
        <v>0</v>
      </c>
      <c r="T43" s="1">
        <v>0</v>
      </c>
      <c r="U43" s="1">
        <v>2</v>
      </c>
      <c r="V43" s="1">
        <v>40</v>
      </c>
      <c r="W43" s="1">
        <v>1</v>
      </c>
      <c r="AB43" s="1">
        <v>2</v>
      </c>
      <c r="AC43" s="1">
        <v>23</v>
      </c>
      <c r="AD43" s="1">
        <v>1</v>
      </c>
      <c r="AE43" s="2">
        <v>3</v>
      </c>
      <c r="AF43" s="2">
        <v>39</v>
      </c>
      <c r="AG43" s="2">
        <v>0</v>
      </c>
      <c r="AH43" s="2">
        <v>1</v>
      </c>
      <c r="AI43" s="2">
        <v>3</v>
      </c>
    </row>
    <row r="44" spans="1:35" x14ac:dyDescent="0.55000000000000004">
      <c r="L44" s="1">
        <v>2</v>
      </c>
      <c r="M44" s="1">
        <v>18</v>
      </c>
      <c r="N44" s="1">
        <v>0</v>
      </c>
      <c r="O44" s="1">
        <v>8</v>
      </c>
      <c r="P44" s="1">
        <v>1</v>
      </c>
      <c r="Q44" s="1">
        <v>10</v>
      </c>
      <c r="R44" s="1">
        <v>1</v>
      </c>
      <c r="S44" s="1">
        <v>13</v>
      </c>
      <c r="T44" s="1">
        <v>1</v>
      </c>
      <c r="U44" s="1">
        <v>2</v>
      </c>
      <c r="V44" s="1">
        <v>41</v>
      </c>
      <c r="W44" s="1">
        <v>0</v>
      </c>
      <c r="AE44" s="2">
        <v>9</v>
      </c>
      <c r="AF44" s="2">
        <v>33</v>
      </c>
      <c r="AG44" s="2">
        <v>0</v>
      </c>
      <c r="AH44" s="2">
        <v>1</v>
      </c>
      <c r="AI44" s="2">
        <v>2</v>
      </c>
    </row>
    <row r="45" spans="1:35" x14ac:dyDescent="0.55000000000000004">
      <c r="L45" s="1">
        <v>2</v>
      </c>
      <c r="M45" s="1">
        <v>4</v>
      </c>
      <c r="N45" s="1">
        <v>1</v>
      </c>
      <c r="O45" s="1">
        <v>4</v>
      </c>
      <c r="P45" s="1">
        <v>1</v>
      </c>
      <c r="Q45" s="1">
        <v>5</v>
      </c>
      <c r="R45" s="1">
        <v>1</v>
      </c>
      <c r="S45" s="1">
        <v>10</v>
      </c>
      <c r="T45" s="1">
        <v>1</v>
      </c>
      <c r="U45" s="1">
        <v>2</v>
      </c>
      <c r="V45" s="1">
        <v>43</v>
      </c>
      <c r="W45" s="1">
        <v>0</v>
      </c>
      <c r="AE45" s="2">
        <v>3</v>
      </c>
      <c r="AF45" s="2">
        <v>45</v>
      </c>
      <c r="AG45" s="2">
        <v>1</v>
      </c>
      <c r="AH45" s="2">
        <v>1</v>
      </c>
      <c r="AI45" s="2">
        <v>4</v>
      </c>
    </row>
    <row r="46" spans="1:35" x14ac:dyDescent="0.55000000000000004">
      <c r="L46" s="1">
        <v>2</v>
      </c>
      <c r="M46" s="1">
        <v>3</v>
      </c>
      <c r="N46" s="1">
        <v>1</v>
      </c>
      <c r="O46" s="1">
        <v>10</v>
      </c>
      <c r="P46" s="1">
        <v>1</v>
      </c>
      <c r="Q46" s="1">
        <v>0</v>
      </c>
      <c r="R46" s="1">
        <v>0</v>
      </c>
      <c r="S46" s="1">
        <v>21</v>
      </c>
      <c r="T46" s="1">
        <v>0</v>
      </c>
      <c r="U46" s="1">
        <v>2</v>
      </c>
      <c r="V46" s="1">
        <v>45</v>
      </c>
      <c r="W46" s="1">
        <v>1</v>
      </c>
      <c r="AE46" s="2">
        <v>35</v>
      </c>
      <c r="AF46" s="2">
        <v>33</v>
      </c>
      <c r="AG46" s="2">
        <v>0</v>
      </c>
      <c r="AH46" s="2">
        <v>1</v>
      </c>
      <c r="AI46" s="2">
        <v>2</v>
      </c>
    </row>
    <row r="47" spans="1:35" x14ac:dyDescent="0.55000000000000004">
      <c r="L47" s="1">
        <v>2</v>
      </c>
      <c r="M47" s="1">
        <v>8</v>
      </c>
      <c r="N47" s="1">
        <v>1</v>
      </c>
      <c r="O47" s="1">
        <v>7</v>
      </c>
      <c r="P47" s="1">
        <v>1</v>
      </c>
      <c r="Q47" s="1">
        <v>10</v>
      </c>
      <c r="R47" s="1">
        <v>1</v>
      </c>
      <c r="S47" s="1">
        <v>12</v>
      </c>
      <c r="T47" s="1">
        <v>1</v>
      </c>
      <c r="U47" s="1">
        <v>2</v>
      </c>
      <c r="V47" s="1">
        <v>46</v>
      </c>
      <c r="W47" s="1">
        <v>1</v>
      </c>
      <c r="AE47" s="2">
        <v>8</v>
      </c>
      <c r="AF47" s="2">
        <v>28</v>
      </c>
      <c r="AG47" s="2">
        <v>0</v>
      </c>
      <c r="AH47" s="2">
        <v>1</v>
      </c>
      <c r="AI47" s="2">
        <v>1</v>
      </c>
    </row>
    <row r="48" spans="1:35" x14ac:dyDescent="0.55000000000000004">
      <c r="L48" s="1">
        <v>2</v>
      </c>
      <c r="M48" s="1">
        <v>3</v>
      </c>
      <c r="N48" s="1">
        <v>1</v>
      </c>
      <c r="O48" s="1">
        <v>6</v>
      </c>
      <c r="P48" s="1">
        <v>1</v>
      </c>
      <c r="Q48" s="1">
        <v>7</v>
      </c>
      <c r="R48" s="1">
        <v>1</v>
      </c>
      <c r="S48" s="1">
        <v>9</v>
      </c>
      <c r="T48" s="1">
        <v>1</v>
      </c>
      <c r="U48" s="1">
        <v>2</v>
      </c>
      <c r="V48" s="1">
        <v>50</v>
      </c>
      <c r="W48" s="1">
        <v>1</v>
      </c>
      <c r="AE48" s="2">
        <v>11</v>
      </c>
      <c r="AF48" s="2">
        <v>31</v>
      </c>
      <c r="AG48" s="2">
        <v>0</v>
      </c>
      <c r="AH48" s="2">
        <v>1</v>
      </c>
      <c r="AI48" s="2">
        <v>2</v>
      </c>
    </row>
    <row r="49" spans="21:35" x14ac:dyDescent="0.55000000000000004">
      <c r="U49" s="1">
        <v>2</v>
      </c>
      <c r="V49" s="1">
        <v>56</v>
      </c>
      <c r="W49" s="1">
        <v>1</v>
      </c>
      <c r="AE49" s="2">
        <v>56</v>
      </c>
      <c r="AF49" s="2">
        <v>20</v>
      </c>
      <c r="AG49" s="2">
        <v>1</v>
      </c>
      <c r="AH49" s="2">
        <v>0</v>
      </c>
      <c r="AI49" s="2">
        <v>1</v>
      </c>
    </row>
    <row r="50" spans="21:35" x14ac:dyDescent="0.55000000000000004">
      <c r="U50" s="1">
        <v>2</v>
      </c>
      <c r="V50" s="1">
        <v>61</v>
      </c>
      <c r="W50" s="1">
        <v>0</v>
      </c>
      <c r="AE50" s="2">
        <v>2</v>
      </c>
      <c r="AF50" s="2">
        <v>44</v>
      </c>
      <c r="AG50" s="2">
        <v>0</v>
      </c>
      <c r="AH50" s="2">
        <v>0</v>
      </c>
      <c r="AI50" s="2">
        <v>4</v>
      </c>
    </row>
    <row r="51" spans="21:35" x14ac:dyDescent="0.55000000000000004">
      <c r="U51" s="1">
        <v>2</v>
      </c>
      <c r="V51" s="1">
        <v>61</v>
      </c>
      <c r="W51" s="1">
        <v>0</v>
      </c>
      <c r="AE51" s="2">
        <v>3</v>
      </c>
      <c r="AF51" s="2">
        <v>39</v>
      </c>
      <c r="AG51" s="2">
        <v>1</v>
      </c>
      <c r="AH51" s="2">
        <v>1</v>
      </c>
      <c r="AI51" s="2">
        <v>3</v>
      </c>
    </row>
    <row r="52" spans="21:35" x14ac:dyDescent="0.55000000000000004">
      <c r="U52" s="1">
        <v>2</v>
      </c>
      <c r="V52" s="1">
        <v>63</v>
      </c>
      <c r="W52" s="1">
        <v>1</v>
      </c>
      <c r="AE52" s="2">
        <v>15</v>
      </c>
      <c r="AF52" s="2">
        <v>33</v>
      </c>
      <c r="AG52" s="2">
        <v>0</v>
      </c>
      <c r="AH52" s="2">
        <v>1</v>
      </c>
      <c r="AI52" s="2">
        <v>2</v>
      </c>
    </row>
    <row r="53" spans="21:35" x14ac:dyDescent="0.55000000000000004">
      <c r="U53" s="1">
        <v>2</v>
      </c>
      <c r="V53" s="1">
        <v>68</v>
      </c>
      <c r="W53" s="1">
        <v>1</v>
      </c>
      <c r="AE53" s="2">
        <v>1</v>
      </c>
      <c r="AF53" s="2">
        <v>31</v>
      </c>
      <c r="AG53" s="2">
        <v>0</v>
      </c>
      <c r="AH53" s="2">
        <v>1</v>
      </c>
      <c r="AI53" s="2">
        <v>2</v>
      </c>
    </row>
    <row r="54" spans="21:35" x14ac:dyDescent="0.55000000000000004">
      <c r="U54" s="1">
        <v>2</v>
      </c>
      <c r="V54" s="1">
        <v>82</v>
      </c>
      <c r="W54" s="1">
        <v>1</v>
      </c>
      <c r="AE54" s="2">
        <v>10</v>
      </c>
      <c r="AF54" s="2">
        <v>33</v>
      </c>
      <c r="AG54" s="2">
        <v>0</v>
      </c>
      <c r="AH54" s="2">
        <v>1</v>
      </c>
      <c r="AI54" s="2">
        <v>2</v>
      </c>
    </row>
    <row r="55" spans="21:35" x14ac:dyDescent="0.55000000000000004">
      <c r="U55" s="1">
        <v>2</v>
      </c>
      <c r="V55" s="1">
        <v>85</v>
      </c>
      <c r="W55" s="1">
        <v>1</v>
      </c>
      <c r="AE55" s="2">
        <v>1</v>
      </c>
      <c r="AF55" s="2">
        <v>50</v>
      </c>
      <c r="AG55" s="2">
        <v>1</v>
      </c>
      <c r="AH55" s="2">
        <v>1</v>
      </c>
      <c r="AI55" s="2">
        <v>4</v>
      </c>
    </row>
    <row r="56" spans="21:35" x14ac:dyDescent="0.55000000000000004">
      <c r="U56" s="1">
        <v>2</v>
      </c>
      <c r="V56" s="1">
        <v>88</v>
      </c>
      <c r="W56" s="1">
        <v>1</v>
      </c>
      <c r="AE56" s="2">
        <v>7</v>
      </c>
      <c r="AF56" s="2">
        <v>36</v>
      </c>
      <c r="AG56" s="2">
        <v>1</v>
      </c>
      <c r="AH56" s="2">
        <v>1</v>
      </c>
      <c r="AI56" s="2">
        <v>3</v>
      </c>
    </row>
    <row r="57" spans="21:35" x14ac:dyDescent="0.55000000000000004">
      <c r="U57" s="1">
        <v>2</v>
      </c>
      <c r="V57" s="1">
        <v>89</v>
      </c>
      <c r="W57" s="1">
        <v>1</v>
      </c>
      <c r="AE57" s="2">
        <v>3</v>
      </c>
      <c r="AF57" s="2">
        <v>30</v>
      </c>
      <c r="AG57" s="2">
        <v>1</v>
      </c>
      <c r="AH57" s="2">
        <v>1</v>
      </c>
      <c r="AI57" s="2">
        <v>2</v>
      </c>
    </row>
    <row r="58" spans="21:35" x14ac:dyDescent="0.55000000000000004">
      <c r="U58" s="1">
        <v>2</v>
      </c>
      <c r="V58" s="1">
        <v>90</v>
      </c>
      <c r="W58" s="1">
        <v>1</v>
      </c>
      <c r="AE58" s="2">
        <v>3</v>
      </c>
      <c r="AF58" s="2">
        <v>42</v>
      </c>
      <c r="AG58" s="2">
        <v>1</v>
      </c>
      <c r="AH58" s="2">
        <v>1</v>
      </c>
      <c r="AI58" s="2">
        <v>4</v>
      </c>
    </row>
    <row r="59" spans="21:35" x14ac:dyDescent="0.55000000000000004">
      <c r="U59" s="1">
        <v>2</v>
      </c>
      <c r="V59" s="1">
        <v>93</v>
      </c>
      <c r="W59" s="1">
        <v>1</v>
      </c>
      <c r="AE59" s="2">
        <v>2</v>
      </c>
      <c r="AF59" s="2">
        <v>32</v>
      </c>
      <c r="AG59" s="2">
        <v>1</v>
      </c>
      <c r="AH59" s="2">
        <v>1</v>
      </c>
      <c r="AI59" s="2">
        <v>2</v>
      </c>
    </row>
    <row r="60" spans="21:35" x14ac:dyDescent="0.55000000000000004">
      <c r="U60" s="1">
        <v>2</v>
      </c>
      <c r="V60" s="1">
        <v>104</v>
      </c>
      <c r="W60" s="1">
        <v>1</v>
      </c>
      <c r="AE60" s="2">
        <v>32</v>
      </c>
      <c r="AF60" s="2">
        <v>34</v>
      </c>
      <c r="AG60" s="2">
        <v>0</v>
      </c>
      <c r="AH60" s="2">
        <v>1</v>
      </c>
      <c r="AI60" s="2">
        <v>2</v>
      </c>
    </row>
    <row r="61" spans="21:35" x14ac:dyDescent="0.55000000000000004">
      <c r="U61" s="1">
        <v>2</v>
      </c>
      <c r="V61" s="1">
        <v>110</v>
      </c>
      <c r="W61" s="1">
        <v>1</v>
      </c>
      <c r="AE61" s="2">
        <v>3</v>
      </c>
      <c r="AF61" s="2">
        <v>38</v>
      </c>
      <c r="AG61" s="2">
        <v>1</v>
      </c>
      <c r="AH61" s="2">
        <v>1</v>
      </c>
      <c r="AI61" s="2">
        <v>3</v>
      </c>
    </row>
    <row r="62" spans="21:35" x14ac:dyDescent="0.55000000000000004">
      <c r="U62" s="1">
        <v>2</v>
      </c>
      <c r="V62" s="1">
        <v>134</v>
      </c>
      <c r="W62" s="1">
        <v>1</v>
      </c>
      <c r="AE62" s="2">
        <v>10</v>
      </c>
      <c r="AF62" s="2">
        <v>33</v>
      </c>
      <c r="AG62" s="2">
        <v>0</v>
      </c>
      <c r="AH62" s="2">
        <v>0</v>
      </c>
      <c r="AI62" s="2">
        <v>2</v>
      </c>
    </row>
    <row r="63" spans="21:35" x14ac:dyDescent="0.55000000000000004">
      <c r="U63" s="1">
        <v>2</v>
      </c>
      <c r="V63" s="1">
        <v>137</v>
      </c>
      <c r="W63" s="1">
        <v>1</v>
      </c>
      <c r="AE63" s="2">
        <v>11</v>
      </c>
      <c r="AF63" s="2">
        <v>39</v>
      </c>
      <c r="AG63" s="2">
        <v>1</v>
      </c>
      <c r="AH63" s="2">
        <v>1</v>
      </c>
      <c r="AI63" s="2">
        <v>3</v>
      </c>
    </row>
    <row r="64" spans="21:35" x14ac:dyDescent="0.55000000000000004">
      <c r="U64" s="1">
        <v>2</v>
      </c>
      <c r="V64" s="1">
        <v>160</v>
      </c>
      <c r="W64" s="1">
        <v>0</v>
      </c>
      <c r="AE64" s="2">
        <v>3</v>
      </c>
      <c r="AF64" s="2">
        <v>39</v>
      </c>
      <c r="AG64" s="2">
        <v>1</v>
      </c>
      <c r="AH64" s="2">
        <v>1</v>
      </c>
      <c r="AI64" s="2">
        <v>3</v>
      </c>
    </row>
    <row r="65" spans="21:35" x14ac:dyDescent="0.55000000000000004">
      <c r="U65" s="1">
        <v>2</v>
      </c>
      <c r="V65" s="1">
        <v>169</v>
      </c>
      <c r="W65" s="1">
        <v>1</v>
      </c>
      <c r="AE65" s="2">
        <v>7</v>
      </c>
      <c r="AF65" s="2">
        <v>33</v>
      </c>
      <c r="AG65" s="2">
        <v>1</v>
      </c>
      <c r="AH65" s="2">
        <v>1</v>
      </c>
      <c r="AI65" s="2">
        <v>2</v>
      </c>
    </row>
    <row r="66" spans="21:35" x14ac:dyDescent="0.55000000000000004">
      <c r="U66" s="1">
        <v>2</v>
      </c>
      <c r="V66" s="1">
        <v>171</v>
      </c>
      <c r="W66" s="1">
        <v>1</v>
      </c>
      <c r="AE66" s="2">
        <v>5</v>
      </c>
      <c r="AF66" s="2">
        <v>34</v>
      </c>
      <c r="AG66" s="2">
        <v>1</v>
      </c>
      <c r="AH66" s="2">
        <v>1</v>
      </c>
      <c r="AI66" s="2">
        <v>2</v>
      </c>
    </row>
    <row r="67" spans="21:35" x14ac:dyDescent="0.55000000000000004">
      <c r="U67" s="1">
        <v>2</v>
      </c>
      <c r="V67" s="1">
        <v>173</v>
      </c>
      <c r="W67" s="1">
        <v>1</v>
      </c>
      <c r="AE67" s="2">
        <v>31</v>
      </c>
      <c r="AF67" s="2">
        <v>34</v>
      </c>
      <c r="AG67" s="2">
        <v>0</v>
      </c>
      <c r="AH67" s="2">
        <v>1</v>
      </c>
      <c r="AI67" s="2">
        <v>2</v>
      </c>
    </row>
    <row r="68" spans="21:35" x14ac:dyDescent="0.55000000000000004">
      <c r="U68" s="1">
        <v>2</v>
      </c>
      <c r="V68" s="1">
        <v>175</v>
      </c>
      <c r="W68" s="1">
        <v>1</v>
      </c>
      <c r="AE68" s="2">
        <v>5</v>
      </c>
      <c r="AF68" s="2">
        <v>46</v>
      </c>
      <c r="AG68" s="2">
        <v>1</v>
      </c>
      <c r="AH68" s="2">
        <v>1</v>
      </c>
      <c r="AI68" s="2">
        <v>4</v>
      </c>
    </row>
    <row r="69" spans="21:35" x14ac:dyDescent="0.55000000000000004">
      <c r="U69" s="1">
        <v>2</v>
      </c>
      <c r="V69" s="1">
        <v>184</v>
      </c>
      <c r="W69" s="1">
        <v>1</v>
      </c>
      <c r="AE69" s="2">
        <v>58</v>
      </c>
      <c r="AF69" s="2">
        <v>22</v>
      </c>
      <c r="AG69" s="2">
        <v>0</v>
      </c>
      <c r="AH69" s="2">
        <v>1</v>
      </c>
      <c r="AI69" s="2">
        <v>1</v>
      </c>
    </row>
    <row r="70" spans="21:35" x14ac:dyDescent="0.55000000000000004">
      <c r="U70" s="1">
        <v>2</v>
      </c>
      <c r="V70" s="1">
        <v>201</v>
      </c>
      <c r="W70" s="1">
        <v>1</v>
      </c>
      <c r="AE70" s="2">
        <v>1</v>
      </c>
      <c r="AF70" s="2">
        <v>44</v>
      </c>
      <c r="AG70" s="2">
        <v>1</v>
      </c>
      <c r="AH70" s="2">
        <v>1</v>
      </c>
      <c r="AI70" s="2">
        <v>4</v>
      </c>
    </row>
    <row r="71" spans="21:35" x14ac:dyDescent="0.55000000000000004">
      <c r="U71" s="1">
        <v>2</v>
      </c>
      <c r="V71" s="1">
        <v>222</v>
      </c>
      <c r="W71" s="1">
        <v>1</v>
      </c>
      <c r="AE71" s="2">
        <v>3</v>
      </c>
      <c r="AF71" s="2">
        <v>37</v>
      </c>
      <c r="AG71" s="2">
        <v>0</v>
      </c>
      <c r="AH71" s="2">
        <v>0</v>
      </c>
      <c r="AI71" s="2">
        <v>3</v>
      </c>
    </row>
    <row r="72" spans="21:35" x14ac:dyDescent="0.55000000000000004">
      <c r="U72" s="1">
        <v>2</v>
      </c>
      <c r="V72" s="1">
        <v>235</v>
      </c>
      <c r="W72" s="1">
        <v>0</v>
      </c>
      <c r="AE72" s="2">
        <v>43</v>
      </c>
      <c r="AF72" s="2">
        <v>25</v>
      </c>
      <c r="AG72" s="2">
        <v>0</v>
      </c>
      <c r="AH72" s="2">
        <v>1</v>
      </c>
      <c r="AI72" s="2">
        <v>1</v>
      </c>
    </row>
    <row r="73" spans="21:35" x14ac:dyDescent="0.55000000000000004">
      <c r="U73" s="1">
        <v>2</v>
      </c>
      <c r="V73" s="1">
        <v>247</v>
      </c>
      <c r="W73" s="1">
        <v>0</v>
      </c>
      <c r="AE73" s="2">
        <v>1</v>
      </c>
      <c r="AF73" s="2">
        <v>38</v>
      </c>
      <c r="AG73" s="2">
        <v>0</v>
      </c>
      <c r="AH73" s="2">
        <v>1</v>
      </c>
      <c r="AI73" s="2">
        <v>3</v>
      </c>
    </row>
    <row r="74" spans="21:35" x14ac:dyDescent="0.55000000000000004">
      <c r="U74" s="1">
        <v>2</v>
      </c>
      <c r="V74" s="1">
        <v>260</v>
      </c>
      <c r="W74" s="1">
        <v>0</v>
      </c>
      <c r="AE74" s="2">
        <v>6</v>
      </c>
      <c r="AF74" s="2">
        <v>32</v>
      </c>
      <c r="AG74" s="2">
        <v>0</v>
      </c>
      <c r="AH74" s="2">
        <v>1</v>
      </c>
      <c r="AI74" s="2">
        <v>2</v>
      </c>
    </row>
    <row r="75" spans="21:35" x14ac:dyDescent="0.55000000000000004">
      <c r="U75" s="1">
        <v>2</v>
      </c>
      <c r="V75" s="1">
        <v>284</v>
      </c>
      <c r="W75" s="1">
        <v>0</v>
      </c>
      <c r="AE75" s="2">
        <v>53</v>
      </c>
      <c r="AF75" s="2">
        <v>34</v>
      </c>
      <c r="AG75" s="2">
        <v>0</v>
      </c>
      <c r="AH75" s="2">
        <v>1</v>
      </c>
      <c r="AI75" s="2">
        <v>2</v>
      </c>
    </row>
    <row r="76" spans="21:35" x14ac:dyDescent="0.55000000000000004">
      <c r="U76" s="1">
        <v>2</v>
      </c>
      <c r="V76" s="1">
        <v>290</v>
      </c>
      <c r="W76" s="1">
        <v>0</v>
      </c>
      <c r="AE76" s="2">
        <v>14</v>
      </c>
      <c r="AF76" s="2">
        <v>29</v>
      </c>
      <c r="AG76" s="2">
        <v>0</v>
      </c>
      <c r="AH76" s="2">
        <v>1</v>
      </c>
      <c r="AI76" s="2">
        <v>1</v>
      </c>
    </row>
    <row r="77" spans="21:35" x14ac:dyDescent="0.55000000000000004">
      <c r="U77" s="1">
        <v>2</v>
      </c>
      <c r="V77" s="1">
        <v>291</v>
      </c>
      <c r="W77" s="1">
        <v>0</v>
      </c>
      <c r="AE77" s="2">
        <v>4</v>
      </c>
      <c r="AF77" s="2">
        <v>36</v>
      </c>
      <c r="AG77" s="2">
        <v>1</v>
      </c>
      <c r="AH77" s="2">
        <v>1</v>
      </c>
      <c r="AI77" s="2">
        <v>3</v>
      </c>
    </row>
    <row r="78" spans="21:35" x14ac:dyDescent="0.55000000000000004">
      <c r="U78" s="1">
        <v>2</v>
      </c>
      <c r="V78" s="1">
        <v>302</v>
      </c>
      <c r="W78" s="1">
        <v>0</v>
      </c>
      <c r="AE78" s="2">
        <v>54</v>
      </c>
      <c r="AF78" s="2">
        <v>21</v>
      </c>
      <c r="AG78" s="2">
        <v>0</v>
      </c>
      <c r="AH78" s="2">
        <v>1</v>
      </c>
      <c r="AI78" s="2">
        <v>1</v>
      </c>
    </row>
    <row r="79" spans="21:35" x14ac:dyDescent="0.55000000000000004">
      <c r="U79" s="1">
        <v>2</v>
      </c>
      <c r="V79" s="1">
        <v>304</v>
      </c>
      <c r="W79" s="1">
        <v>0</v>
      </c>
      <c r="AE79" s="2">
        <v>1</v>
      </c>
      <c r="AF79" s="2">
        <v>26</v>
      </c>
      <c r="AG79" s="2">
        <v>1</v>
      </c>
      <c r="AH79" s="2">
        <v>1</v>
      </c>
      <c r="AI79" s="2">
        <v>1</v>
      </c>
    </row>
    <row r="80" spans="21:35" x14ac:dyDescent="0.55000000000000004">
      <c r="U80" s="1">
        <v>2</v>
      </c>
      <c r="V80" s="1">
        <v>341</v>
      </c>
      <c r="W80" s="1">
        <v>0</v>
      </c>
      <c r="AE80" s="2">
        <v>1</v>
      </c>
      <c r="AF80" s="2">
        <v>32</v>
      </c>
      <c r="AG80" s="2">
        <v>1</v>
      </c>
      <c r="AH80" s="2">
        <v>1</v>
      </c>
      <c r="AI80" s="2">
        <v>2</v>
      </c>
    </row>
    <row r="81" spans="21:35" x14ac:dyDescent="0.55000000000000004">
      <c r="U81" s="1">
        <v>2</v>
      </c>
      <c r="V81" s="1">
        <v>345</v>
      </c>
      <c r="W81" s="1">
        <v>0</v>
      </c>
      <c r="AE81" s="2">
        <v>8</v>
      </c>
      <c r="AF81" s="2">
        <v>42</v>
      </c>
      <c r="AG81" s="2">
        <v>0</v>
      </c>
      <c r="AH81" s="2">
        <v>1</v>
      </c>
      <c r="AI81" s="2">
        <v>4</v>
      </c>
    </row>
    <row r="82" spans="21:35" x14ac:dyDescent="0.55000000000000004">
      <c r="AE82" s="2">
        <v>5</v>
      </c>
      <c r="AF82" s="2">
        <v>40</v>
      </c>
      <c r="AG82" s="2">
        <v>1</v>
      </c>
      <c r="AH82" s="2">
        <v>1</v>
      </c>
      <c r="AI82" s="2">
        <v>4</v>
      </c>
    </row>
    <row r="83" spans="21:35" x14ac:dyDescent="0.55000000000000004">
      <c r="AE83" s="2">
        <v>1</v>
      </c>
      <c r="AF83" s="2">
        <v>37</v>
      </c>
      <c r="AG83" s="2">
        <v>1</v>
      </c>
      <c r="AH83" s="2">
        <v>1</v>
      </c>
      <c r="AI83" s="2">
        <v>3</v>
      </c>
    </row>
    <row r="84" spans="21:35" x14ac:dyDescent="0.55000000000000004">
      <c r="AE84" s="2">
        <v>1</v>
      </c>
      <c r="AF84" s="2">
        <v>47</v>
      </c>
      <c r="AG84" s="2">
        <v>0</v>
      </c>
      <c r="AH84" s="2">
        <v>1</v>
      </c>
      <c r="AI84" s="2">
        <v>4</v>
      </c>
    </row>
    <row r="85" spans="21:35" x14ac:dyDescent="0.55000000000000004">
      <c r="AE85" s="2">
        <v>2</v>
      </c>
      <c r="AF85" s="2">
        <v>32</v>
      </c>
      <c r="AG85" s="2">
        <v>1</v>
      </c>
      <c r="AH85" s="2">
        <v>1</v>
      </c>
      <c r="AI85" s="2">
        <v>2</v>
      </c>
    </row>
    <row r="86" spans="21:35" x14ac:dyDescent="0.55000000000000004">
      <c r="AE86" s="2">
        <v>7</v>
      </c>
      <c r="AF86" s="2">
        <v>41</v>
      </c>
      <c r="AG86" s="2">
        <v>1</v>
      </c>
      <c r="AH86" s="2">
        <v>0</v>
      </c>
      <c r="AI86" s="2">
        <v>4</v>
      </c>
    </row>
    <row r="87" spans="21:35" x14ac:dyDescent="0.55000000000000004">
      <c r="AE87" s="2">
        <v>1</v>
      </c>
      <c r="AF87" s="2">
        <v>46</v>
      </c>
      <c r="AG87" s="2">
        <v>1</v>
      </c>
      <c r="AH87" s="2">
        <v>0</v>
      </c>
      <c r="AI87" s="2">
        <v>4</v>
      </c>
    </row>
    <row r="88" spans="21:35" x14ac:dyDescent="0.55000000000000004">
      <c r="AE88" s="2">
        <v>10</v>
      </c>
      <c r="AF88" s="2">
        <v>26</v>
      </c>
      <c r="AG88" s="2">
        <v>1</v>
      </c>
      <c r="AH88" s="2">
        <v>1</v>
      </c>
      <c r="AI88" s="2">
        <v>1</v>
      </c>
    </row>
    <row r="89" spans="21:35" x14ac:dyDescent="0.55000000000000004">
      <c r="AE89" s="2">
        <v>24</v>
      </c>
      <c r="AF89" s="2">
        <v>30</v>
      </c>
      <c r="AG89" s="2">
        <v>0</v>
      </c>
      <c r="AH89" s="2">
        <v>0</v>
      </c>
      <c r="AI89" s="2">
        <v>2</v>
      </c>
    </row>
    <row r="90" spans="21:35" x14ac:dyDescent="0.55000000000000004">
      <c r="AE90" s="2">
        <v>7</v>
      </c>
      <c r="AF90" s="2">
        <v>32</v>
      </c>
      <c r="AG90" s="2">
        <v>1</v>
      </c>
      <c r="AH90" s="2">
        <v>1</v>
      </c>
      <c r="AI90" s="2">
        <v>2</v>
      </c>
    </row>
    <row r="91" spans="21:35" x14ac:dyDescent="0.55000000000000004">
      <c r="AE91" s="2">
        <v>12</v>
      </c>
      <c r="AF91" s="2">
        <v>31</v>
      </c>
      <c r="AG91" s="2">
        <v>1</v>
      </c>
      <c r="AH91" s="2">
        <v>0</v>
      </c>
      <c r="AI91" s="2">
        <v>2</v>
      </c>
    </row>
    <row r="92" spans="21:35" x14ac:dyDescent="0.55000000000000004">
      <c r="AE92" s="2">
        <v>4</v>
      </c>
      <c r="AF92" s="2">
        <v>35</v>
      </c>
      <c r="AG92" s="2">
        <v>0</v>
      </c>
      <c r="AH92" s="2">
        <v>1</v>
      </c>
      <c r="AI92" s="2">
        <v>3</v>
      </c>
    </row>
    <row r="93" spans="21:35" x14ac:dyDescent="0.55000000000000004">
      <c r="AE93" s="2">
        <v>57</v>
      </c>
      <c r="AF93" s="2">
        <v>36</v>
      </c>
      <c r="AG93" s="2">
        <v>0</v>
      </c>
      <c r="AH93" s="2">
        <v>1</v>
      </c>
      <c r="AI93" s="2">
        <v>3</v>
      </c>
    </row>
    <row r="94" spans="21:35" x14ac:dyDescent="0.55000000000000004">
      <c r="AE94" s="2">
        <v>1</v>
      </c>
      <c r="AF94" s="2">
        <v>41</v>
      </c>
      <c r="AG94" s="2">
        <v>1</v>
      </c>
      <c r="AH94" s="2">
        <v>1</v>
      </c>
      <c r="AI94" s="2">
        <v>4</v>
      </c>
    </row>
    <row r="95" spans="21:35" x14ac:dyDescent="0.55000000000000004">
      <c r="AE95" s="2">
        <v>12</v>
      </c>
      <c r="AF95" s="2">
        <v>36</v>
      </c>
      <c r="AG95" s="2">
        <v>1</v>
      </c>
      <c r="AH95" s="2">
        <v>0</v>
      </c>
      <c r="AI95" s="2">
        <v>3</v>
      </c>
    </row>
    <row r="96" spans="21:35" x14ac:dyDescent="0.55000000000000004">
      <c r="AE96" s="2">
        <v>7</v>
      </c>
      <c r="AF96" s="2">
        <v>35</v>
      </c>
      <c r="AG96" s="2">
        <v>1</v>
      </c>
      <c r="AH96" s="2">
        <v>1</v>
      </c>
      <c r="AI96" s="2">
        <v>3</v>
      </c>
    </row>
    <row r="97" spans="31:35" x14ac:dyDescent="0.55000000000000004">
      <c r="AE97" s="2">
        <v>1</v>
      </c>
      <c r="AF97" s="2">
        <v>34</v>
      </c>
      <c r="AG97" s="2">
        <v>1</v>
      </c>
      <c r="AH97" s="2">
        <v>1</v>
      </c>
      <c r="AI97" s="2">
        <v>2</v>
      </c>
    </row>
    <row r="98" spans="31:35" x14ac:dyDescent="0.55000000000000004">
      <c r="AE98" s="2">
        <v>5</v>
      </c>
      <c r="AF98" s="2">
        <v>28</v>
      </c>
      <c r="AG98" s="2">
        <v>0</v>
      </c>
      <c r="AH98" s="2">
        <v>1</v>
      </c>
      <c r="AI98" s="2">
        <v>1</v>
      </c>
    </row>
    <row r="99" spans="31:35" x14ac:dyDescent="0.55000000000000004">
      <c r="AE99" s="2">
        <v>60</v>
      </c>
      <c r="AF99" s="2">
        <v>29</v>
      </c>
      <c r="AG99" s="2">
        <v>0</v>
      </c>
      <c r="AH99" s="2">
        <v>0</v>
      </c>
      <c r="AI99" s="2">
        <v>1</v>
      </c>
    </row>
    <row r="100" spans="31:35" x14ac:dyDescent="0.55000000000000004">
      <c r="AE100" s="2">
        <v>2</v>
      </c>
      <c r="AF100" s="2">
        <v>35</v>
      </c>
      <c r="AG100" s="2">
        <v>1</v>
      </c>
      <c r="AH100" s="2">
        <v>0</v>
      </c>
      <c r="AI100" s="2">
        <v>3</v>
      </c>
    </row>
    <row r="101" spans="31:35" x14ac:dyDescent="0.55000000000000004">
      <c r="AE101" s="2">
        <v>1</v>
      </c>
      <c r="AF101" s="2">
        <v>34</v>
      </c>
      <c r="AG101" s="2">
        <v>1</v>
      </c>
      <c r="AH101" s="2">
        <v>1</v>
      </c>
      <c r="AI101" s="2">
        <v>2</v>
      </c>
    </row>
  </sheetData>
  <printOptions gridLines="1"/>
  <pageMargins left="0.75" right="0.75" top="1" bottom="1" header="0" footer="0"/>
  <headerFooter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24"/>
  <sheetViews>
    <sheetView workbookViewId="0"/>
  </sheetViews>
  <sheetFormatPr defaultColWidth="12.44140625" defaultRowHeight="14.4" x14ac:dyDescent="0.55000000000000004"/>
  <cols>
    <col min="1" max="1" width="13.1640625" style="2" bestFit="1" customWidth="1"/>
    <col min="2" max="2" width="13.71875" style="2" bestFit="1" customWidth="1"/>
    <col min="3" max="3" width="17.83203125" style="2" bestFit="1" customWidth="1"/>
    <col min="4" max="4" width="18.44140625" style="2" bestFit="1" customWidth="1"/>
    <col min="5" max="5" width="6.71875" style="2" bestFit="1" customWidth="1"/>
    <col min="6" max="6" width="13.27734375" style="2" bestFit="1" customWidth="1"/>
    <col min="7" max="7" width="14.83203125" style="2" bestFit="1" customWidth="1"/>
    <col min="8" max="8" width="12.1640625" style="2" bestFit="1" customWidth="1"/>
    <col min="9" max="9" width="13.83203125" style="2" bestFit="1" customWidth="1"/>
    <col min="10" max="10" width="14.5546875" style="2" bestFit="1" customWidth="1"/>
    <col min="11" max="11" width="12.44140625" style="2" bestFit="1" customWidth="1"/>
    <col min="12" max="12" width="9.71875" style="2" bestFit="1" customWidth="1"/>
    <col min="13" max="13" width="15.1640625" style="2" bestFit="1" customWidth="1"/>
    <col min="14" max="14" width="13.1640625" style="2" bestFit="1" customWidth="1"/>
    <col min="15" max="15" width="10.27734375" style="2" bestFit="1" customWidth="1"/>
    <col min="16" max="16" width="16.71875" style="2" bestFit="1" customWidth="1"/>
    <col min="17" max="17" width="13.71875" style="2" bestFit="1" customWidth="1"/>
    <col min="18" max="18" width="20.1640625" style="2" bestFit="1" customWidth="1"/>
    <col min="19" max="19" width="12.71875" style="2" bestFit="1" customWidth="1"/>
    <col min="20" max="20" width="19.27734375" style="2" bestFit="1" customWidth="1"/>
    <col min="21" max="21" width="9.27734375" style="2" bestFit="1" customWidth="1"/>
    <col min="22" max="22" width="22.71875" style="2" bestFit="1" customWidth="1"/>
    <col min="23" max="23" width="23.71875" style="2" bestFit="1" customWidth="1"/>
    <col min="24" max="24" width="17.27734375" style="2" bestFit="1" customWidth="1"/>
    <col min="25" max="25" width="18.27734375" style="2" bestFit="1" customWidth="1"/>
    <col min="26" max="26" width="16.83203125" style="2" bestFit="1" customWidth="1"/>
    <col min="27" max="27" width="18.83203125" style="2" bestFit="1" customWidth="1"/>
    <col min="28" max="28" width="12.1640625" style="2" bestFit="1" customWidth="1"/>
    <col min="29" max="29" width="14.1640625" style="2" bestFit="1" customWidth="1"/>
    <col min="30" max="30" width="15.44140625" style="2" bestFit="1" customWidth="1"/>
    <col min="31" max="31" width="10.5546875" style="2" bestFit="1" customWidth="1"/>
    <col min="32" max="33" width="9" style="2" bestFit="1" customWidth="1"/>
    <col min="34" max="34" width="6.71875" style="2" bestFit="1" customWidth="1"/>
    <col min="35" max="35" width="5.44140625" style="2" bestFit="1" customWidth="1"/>
    <col min="36" max="36" width="9.44140625" style="2" bestFit="1" customWidth="1"/>
    <col min="37" max="37" width="11.27734375" style="2" bestFit="1" customWidth="1"/>
    <col min="38" max="38" width="9.27734375" style="2" bestFit="1" customWidth="1"/>
    <col min="39" max="39" width="12.71875" style="2" bestFit="1" customWidth="1"/>
    <col min="40" max="40" width="12.44140625" style="2" bestFit="1" customWidth="1"/>
    <col min="41" max="41" width="16" style="2" bestFit="1" customWidth="1"/>
    <col min="42" max="42" width="13.1640625" style="2" bestFit="1" customWidth="1"/>
    <col min="43" max="43" width="12.71875" style="2" bestFit="1" customWidth="1"/>
    <col min="44" max="44" width="10.44140625" style="2" bestFit="1" customWidth="1"/>
    <col min="45" max="45" width="10.1640625" style="2" bestFit="1" customWidth="1"/>
    <col min="46" max="47" width="9.27734375" style="2" bestFit="1" customWidth="1"/>
    <col min="48" max="48" width="9.5546875" style="2" bestFit="1" customWidth="1"/>
    <col min="49" max="49" width="12" style="2" bestFit="1" customWidth="1"/>
    <col min="50" max="50" width="12.27734375" style="2" bestFit="1" customWidth="1"/>
    <col min="51" max="51" width="11" style="2" bestFit="1" customWidth="1"/>
    <col min="52" max="52" width="11.44140625" style="2" bestFit="1" customWidth="1"/>
    <col min="53" max="53" width="19.1640625" style="2" bestFit="1" customWidth="1"/>
    <col min="54" max="54" width="5" style="2" bestFit="1" customWidth="1"/>
    <col min="55" max="55" width="4" style="2" bestFit="1" customWidth="1"/>
    <col min="56" max="56" width="6" style="2" bestFit="1" customWidth="1"/>
    <col min="57" max="57" width="4" style="2" bestFit="1" customWidth="1"/>
    <col min="58" max="58" width="6" style="2" bestFit="1" customWidth="1"/>
    <col min="59" max="59" width="7.5546875" style="2" bestFit="1" customWidth="1"/>
    <col min="60" max="60" width="10.1640625" style="2" bestFit="1" customWidth="1"/>
    <col min="61" max="61" width="11.71875" style="2" bestFit="1" customWidth="1"/>
    <col min="62" max="62" width="12" style="2" bestFit="1" customWidth="1"/>
    <col min="63" max="16384" width="12.44140625" style="2"/>
  </cols>
  <sheetData>
    <row r="1" spans="1:62" x14ac:dyDescent="0.55000000000000004">
      <c r="A1" s="1" t="s">
        <v>260</v>
      </c>
      <c r="B1" s="1" t="s">
        <v>72</v>
      </c>
      <c r="C1" s="1" t="s">
        <v>218</v>
      </c>
      <c r="D1" s="1" t="s">
        <v>359</v>
      </c>
      <c r="E1" s="1" t="s">
        <v>52</v>
      </c>
      <c r="F1" s="1" t="s">
        <v>80</v>
      </c>
      <c r="G1" s="1" t="s">
        <v>459</v>
      </c>
      <c r="H1" s="1" t="s">
        <v>380</v>
      </c>
      <c r="I1" s="1" t="s">
        <v>253</v>
      </c>
      <c r="J1" s="1" t="s">
        <v>285</v>
      </c>
      <c r="K1" s="1" t="s">
        <v>115</v>
      </c>
      <c r="L1" s="1" t="s">
        <v>62</v>
      </c>
      <c r="M1" s="1" t="s">
        <v>501</v>
      </c>
      <c r="N1" s="1" t="s">
        <v>6</v>
      </c>
      <c r="O1" s="1" t="s">
        <v>388</v>
      </c>
      <c r="P1" s="1" t="s">
        <v>431</v>
      </c>
      <c r="Q1" s="1" t="s">
        <v>72</v>
      </c>
      <c r="R1" s="1" t="s">
        <v>345</v>
      </c>
      <c r="S1" s="1" t="s">
        <v>497</v>
      </c>
      <c r="T1" s="1" t="s">
        <v>42</v>
      </c>
      <c r="U1" s="1" t="s">
        <v>252</v>
      </c>
      <c r="V1" s="1" t="s">
        <v>129</v>
      </c>
      <c r="W1" s="1" t="s">
        <v>5</v>
      </c>
      <c r="X1" s="1" t="s">
        <v>347</v>
      </c>
      <c r="Y1" s="1" t="s">
        <v>174</v>
      </c>
      <c r="Z1" s="2" t="s">
        <v>349</v>
      </c>
      <c r="AA1" s="2" t="s">
        <v>266</v>
      </c>
      <c r="AB1" s="2" t="s">
        <v>380</v>
      </c>
      <c r="AC1" s="2" t="s">
        <v>420</v>
      </c>
      <c r="AD1" s="2" t="s">
        <v>520</v>
      </c>
      <c r="AE1" s="2" t="s">
        <v>143</v>
      </c>
      <c r="AF1" s="2" t="s">
        <v>182</v>
      </c>
      <c r="AG1" s="2" t="s">
        <v>385</v>
      </c>
      <c r="AH1" s="2" t="s">
        <v>52</v>
      </c>
      <c r="AI1" s="2" t="s">
        <v>71</v>
      </c>
      <c r="AJ1" s="2" t="s">
        <v>321</v>
      </c>
      <c r="AK1" s="2" t="s">
        <v>431</v>
      </c>
      <c r="AL1" s="2" t="s">
        <v>67</v>
      </c>
      <c r="AM1" s="2" t="s">
        <v>510</v>
      </c>
      <c r="AN1" s="2" t="s">
        <v>297</v>
      </c>
      <c r="AO1" s="2" t="s">
        <v>432</v>
      </c>
      <c r="AP1" s="2" t="s">
        <v>186</v>
      </c>
      <c r="AQ1" s="2" t="s">
        <v>267</v>
      </c>
      <c r="AR1" s="2" t="s">
        <v>272</v>
      </c>
      <c r="AS1" s="2" t="s">
        <v>254</v>
      </c>
      <c r="AT1" s="2" t="s">
        <v>216</v>
      </c>
      <c r="AU1" s="2" t="s">
        <v>205</v>
      </c>
      <c r="AV1" s="2" t="s">
        <v>137</v>
      </c>
      <c r="AW1" s="2" t="s">
        <v>178</v>
      </c>
      <c r="AX1" s="2" t="s">
        <v>428</v>
      </c>
      <c r="AY1" s="2" t="s">
        <v>257</v>
      </c>
      <c r="AZ1" s="2" t="s">
        <v>121</v>
      </c>
      <c r="BA1" t="s">
        <v>223</v>
      </c>
      <c r="BB1" t="s">
        <v>191</v>
      </c>
      <c r="BC1" t="s">
        <v>478</v>
      </c>
      <c r="BD1" t="s">
        <v>407</v>
      </c>
      <c r="BE1" t="s">
        <v>453</v>
      </c>
      <c r="BF1" t="s">
        <v>390</v>
      </c>
      <c r="BG1" t="s">
        <v>56</v>
      </c>
      <c r="BH1" t="s">
        <v>146</v>
      </c>
      <c r="BI1" s="2" t="s">
        <v>494</v>
      </c>
      <c r="BJ1" s="2" t="s">
        <v>460</v>
      </c>
    </row>
    <row r="2" spans="1:62" x14ac:dyDescent="0.55000000000000004">
      <c r="A2" s="1">
        <v>615</v>
      </c>
      <c r="B2" s="1">
        <v>49</v>
      </c>
      <c r="C2" s="1">
        <v>624</v>
      </c>
      <c r="D2" s="1">
        <v>67</v>
      </c>
      <c r="E2" s="1" t="s">
        <v>437</v>
      </c>
      <c r="F2" s="1">
        <v>155</v>
      </c>
      <c r="G2" s="1">
        <v>83</v>
      </c>
      <c r="H2" s="1">
        <v>17</v>
      </c>
      <c r="I2" s="1">
        <v>3</v>
      </c>
      <c r="J2" s="1">
        <v>27</v>
      </c>
      <c r="K2" s="1">
        <v>18.5</v>
      </c>
      <c r="L2" s="1">
        <v>14.9</v>
      </c>
      <c r="M2" s="1">
        <v>17</v>
      </c>
      <c r="N2" s="1">
        <v>5.4</v>
      </c>
      <c r="O2" s="1">
        <v>17.3</v>
      </c>
      <c r="P2" s="1" t="s">
        <v>357</v>
      </c>
      <c r="Q2" s="1">
        <v>14</v>
      </c>
      <c r="R2" s="1">
        <v>1516</v>
      </c>
      <c r="S2" s="1">
        <v>10</v>
      </c>
      <c r="T2" s="1">
        <v>1701</v>
      </c>
      <c r="U2" s="1" t="s">
        <v>480</v>
      </c>
      <c r="V2" s="3">
        <v>86</v>
      </c>
      <c r="W2" s="3">
        <v>83</v>
      </c>
      <c r="X2" s="3">
        <v>86</v>
      </c>
      <c r="Y2" s="3">
        <v>72</v>
      </c>
      <c r="Z2" s="2">
        <v>40</v>
      </c>
      <c r="AA2" s="2">
        <v>1</v>
      </c>
      <c r="AB2" s="2">
        <v>36</v>
      </c>
      <c r="AC2" s="2">
        <v>2</v>
      </c>
      <c r="AD2" s="2" t="s">
        <v>161</v>
      </c>
      <c r="AE2" s="2">
        <v>0.71971399999999996</v>
      </c>
      <c r="AF2" s="2">
        <v>0.47831000000000001</v>
      </c>
      <c r="AG2" s="2">
        <v>1.0773710000000001</v>
      </c>
      <c r="AH2" s="2" t="s">
        <v>437</v>
      </c>
      <c r="AI2" s="2">
        <v>311</v>
      </c>
      <c r="AJ2" s="2">
        <v>214</v>
      </c>
      <c r="AK2" s="2" t="s">
        <v>217</v>
      </c>
      <c r="AL2" s="2">
        <v>1128</v>
      </c>
      <c r="AM2" s="2">
        <v>0</v>
      </c>
      <c r="AN2" s="2">
        <v>137</v>
      </c>
      <c r="AO2" s="2">
        <v>0</v>
      </c>
      <c r="AP2" s="2">
        <v>6</v>
      </c>
      <c r="AQ2" s="2">
        <v>0</v>
      </c>
      <c r="AR2" s="2">
        <v>5</v>
      </c>
      <c r="AS2" s="2">
        <v>0</v>
      </c>
      <c r="AT2" s="2" t="s">
        <v>206</v>
      </c>
      <c r="AU2" s="2">
        <v>1162</v>
      </c>
      <c r="AV2" s="2">
        <v>2</v>
      </c>
      <c r="AW2" s="2">
        <v>5427</v>
      </c>
      <c r="AX2" s="2">
        <v>17</v>
      </c>
      <c r="AY2" s="2">
        <v>0.51</v>
      </c>
      <c r="AZ2" s="2">
        <v>131</v>
      </c>
      <c r="BA2" t="s">
        <v>410</v>
      </c>
      <c r="BB2">
        <v>1948</v>
      </c>
      <c r="BC2">
        <v>4</v>
      </c>
      <c r="BD2">
        <v>119</v>
      </c>
      <c r="BE2">
        <v>11</v>
      </c>
      <c r="BF2">
        <v>128</v>
      </c>
      <c r="BG2">
        <v>44</v>
      </c>
      <c r="BH2" t="s">
        <v>277</v>
      </c>
      <c r="BI2" s="2">
        <v>-0.88931132999999996</v>
      </c>
      <c r="BJ2" s="2">
        <v>0.325584765</v>
      </c>
    </row>
    <row r="3" spans="1:62" x14ac:dyDescent="0.55000000000000004">
      <c r="A3" s="1">
        <v>758</v>
      </c>
      <c r="B3" s="1">
        <v>44</v>
      </c>
      <c r="C3" s="1">
        <v>771</v>
      </c>
      <c r="D3" s="1">
        <v>64</v>
      </c>
      <c r="E3" s="1" t="s">
        <v>77</v>
      </c>
      <c r="F3" s="1">
        <v>317</v>
      </c>
      <c r="G3" s="1">
        <v>90</v>
      </c>
      <c r="H3" s="1">
        <v>46</v>
      </c>
      <c r="I3" s="1">
        <v>3</v>
      </c>
      <c r="J3" s="1">
        <v>16</v>
      </c>
      <c r="K3" s="1">
        <v>60</v>
      </c>
      <c r="L3" s="1">
        <v>29.2</v>
      </c>
      <c r="M3" s="1">
        <v>15</v>
      </c>
      <c r="N3" s="1">
        <v>55</v>
      </c>
      <c r="O3" s="1">
        <v>29.2</v>
      </c>
      <c r="P3" s="1" t="s">
        <v>463</v>
      </c>
      <c r="Q3" s="1">
        <v>76</v>
      </c>
      <c r="R3" s="1">
        <v>949</v>
      </c>
      <c r="S3" s="1">
        <v>121</v>
      </c>
      <c r="T3" s="1">
        <v>2245</v>
      </c>
      <c r="U3" s="1" t="s">
        <v>68</v>
      </c>
      <c r="V3" s="3">
        <v>93</v>
      </c>
      <c r="W3" s="3">
        <v>90</v>
      </c>
      <c r="X3" s="3">
        <v>270</v>
      </c>
      <c r="Y3" s="3">
        <v>227</v>
      </c>
      <c r="Z3" s="2">
        <v>135</v>
      </c>
      <c r="AA3" s="2">
        <v>9</v>
      </c>
      <c r="AB3" s="2">
        <v>135</v>
      </c>
      <c r="AC3" s="2">
        <v>23</v>
      </c>
      <c r="AD3" s="2" t="s">
        <v>421</v>
      </c>
      <c r="AE3" s="2">
        <v>0.68076000000000003</v>
      </c>
      <c r="AF3" s="2">
        <v>0.44642300000000001</v>
      </c>
      <c r="AG3" s="2">
        <v>1.0307580000000001</v>
      </c>
      <c r="AH3" s="2" t="s">
        <v>77</v>
      </c>
      <c r="AI3" s="2">
        <v>65</v>
      </c>
      <c r="AJ3" s="2">
        <v>58</v>
      </c>
      <c r="AK3" s="2" t="s">
        <v>273</v>
      </c>
      <c r="AL3" s="2">
        <v>701</v>
      </c>
      <c r="AM3" s="2">
        <v>5</v>
      </c>
      <c r="AN3" s="2">
        <v>174</v>
      </c>
      <c r="AO3" s="2">
        <v>0</v>
      </c>
      <c r="AP3" s="2">
        <v>6</v>
      </c>
      <c r="AQ3" s="2">
        <v>3</v>
      </c>
      <c r="AR3" s="2">
        <v>6</v>
      </c>
      <c r="AS3" s="2">
        <v>0</v>
      </c>
      <c r="AT3" s="2" t="s">
        <v>376</v>
      </c>
      <c r="AU3" s="2">
        <v>150</v>
      </c>
      <c r="AV3" s="2">
        <v>0</v>
      </c>
      <c r="AW3" s="2">
        <v>6836</v>
      </c>
      <c r="AX3" s="2">
        <v>15</v>
      </c>
      <c r="AY3" s="2">
        <v>0.48</v>
      </c>
      <c r="AZ3" s="2">
        <v>129</v>
      </c>
      <c r="BA3" t="s">
        <v>235</v>
      </c>
      <c r="BB3">
        <v>1949</v>
      </c>
      <c r="BC3">
        <v>6</v>
      </c>
      <c r="BD3">
        <v>300</v>
      </c>
      <c r="BE3">
        <v>29</v>
      </c>
      <c r="BF3">
        <v>274</v>
      </c>
      <c r="BG3">
        <v>55</v>
      </c>
      <c r="BH3" t="s">
        <v>277</v>
      </c>
      <c r="BI3" s="2">
        <v>-1.58538866</v>
      </c>
      <c r="BJ3" s="2">
        <v>0.194581121</v>
      </c>
    </row>
    <row r="4" spans="1:62" x14ac:dyDescent="0.55000000000000004">
      <c r="A4" s="1">
        <v>832</v>
      </c>
      <c r="B4" s="1">
        <v>102</v>
      </c>
      <c r="C4" s="1">
        <v>850</v>
      </c>
      <c r="D4" s="1">
        <v>126</v>
      </c>
      <c r="E4" s="1" t="s">
        <v>320</v>
      </c>
      <c r="F4" s="1">
        <v>210</v>
      </c>
      <c r="G4" s="1">
        <v>129</v>
      </c>
      <c r="H4" s="1">
        <v>26</v>
      </c>
      <c r="I4" s="1">
        <v>7</v>
      </c>
      <c r="J4" s="1">
        <v>25</v>
      </c>
      <c r="K4" s="1">
        <v>10.72</v>
      </c>
      <c r="L4" s="1">
        <v>6.46</v>
      </c>
      <c r="M4" s="1">
        <v>66</v>
      </c>
      <c r="N4" s="1">
        <v>6.92</v>
      </c>
      <c r="O4" s="1">
        <v>6.83</v>
      </c>
      <c r="P4" s="1" t="s">
        <v>452</v>
      </c>
      <c r="Q4" s="1"/>
      <c r="R4" s="1"/>
      <c r="S4" s="1"/>
      <c r="T4" s="1"/>
      <c r="U4" s="1"/>
      <c r="V4" s="3">
        <v>136</v>
      </c>
      <c r="W4" s="3">
        <v>129</v>
      </c>
      <c r="X4" s="3">
        <v>100</v>
      </c>
      <c r="Y4" s="3">
        <v>81</v>
      </c>
      <c r="Z4" s="2">
        <v>200</v>
      </c>
      <c r="AA4" s="2">
        <v>2</v>
      </c>
      <c r="AB4" s="2">
        <v>200</v>
      </c>
      <c r="AC4" s="2">
        <v>7</v>
      </c>
      <c r="AD4" s="2" t="s">
        <v>38</v>
      </c>
      <c r="AE4" s="2">
        <v>0.80286999999999997</v>
      </c>
      <c r="AF4" s="2">
        <v>0.59986399999999995</v>
      </c>
      <c r="AG4" s="2">
        <v>1.0729649999999999</v>
      </c>
      <c r="AH4" s="2" t="s">
        <v>320</v>
      </c>
      <c r="AI4" s="2">
        <v>67</v>
      </c>
      <c r="AJ4" s="2">
        <v>59</v>
      </c>
      <c r="AK4" s="2" t="s">
        <v>315</v>
      </c>
      <c r="AL4" s="2">
        <v>39</v>
      </c>
      <c r="AM4" s="2">
        <v>0</v>
      </c>
      <c r="AN4" s="2">
        <v>78</v>
      </c>
      <c r="AO4" s="2">
        <v>0</v>
      </c>
      <c r="AP4" s="2">
        <v>6</v>
      </c>
      <c r="AQ4" s="2">
        <v>6</v>
      </c>
      <c r="AR4" s="2">
        <v>6</v>
      </c>
      <c r="AS4" s="2">
        <v>2</v>
      </c>
      <c r="AT4" s="2" t="s">
        <v>261</v>
      </c>
      <c r="AU4" s="2">
        <v>608</v>
      </c>
      <c r="AV4" s="2">
        <v>1</v>
      </c>
      <c r="AW4" s="2">
        <v>6179</v>
      </c>
      <c r="AX4" s="2">
        <v>37</v>
      </c>
      <c r="AY4" s="2">
        <v>0.3</v>
      </c>
      <c r="AZ4" s="2">
        <v>155</v>
      </c>
      <c r="BA4" t="s">
        <v>311</v>
      </c>
      <c r="BB4">
        <v>1960</v>
      </c>
      <c r="BC4">
        <v>3</v>
      </c>
      <c r="BD4">
        <v>228</v>
      </c>
      <c r="BE4">
        <v>11</v>
      </c>
      <c r="BF4">
        <v>209</v>
      </c>
      <c r="BG4">
        <v>42</v>
      </c>
      <c r="BH4" t="s">
        <v>277</v>
      </c>
      <c r="BI4" s="2">
        <v>-1.3480731500000001</v>
      </c>
      <c r="BJ4" s="2">
        <v>0.41536796500000001</v>
      </c>
    </row>
    <row r="5" spans="1:62" x14ac:dyDescent="0.55000000000000004">
      <c r="A5" s="1">
        <v>317</v>
      </c>
      <c r="B5" s="1">
        <v>32</v>
      </c>
      <c r="C5" s="1">
        <v>309</v>
      </c>
      <c r="D5" s="1">
        <v>38</v>
      </c>
      <c r="E5" s="1" t="s">
        <v>8</v>
      </c>
      <c r="F5" s="1">
        <v>711</v>
      </c>
      <c r="G5" s="1">
        <v>412</v>
      </c>
      <c r="H5" s="1">
        <v>163</v>
      </c>
      <c r="I5" s="1">
        <v>32</v>
      </c>
      <c r="J5" s="1">
        <v>62</v>
      </c>
      <c r="K5" s="1">
        <v>9.1999999999999993</v>
      </c>
      <c r="L5" s="1">
        <v>6.16</v>
      </c>
      <c r="M5" s="1">
        <v>66</v>
      </c>
      <c r="N5" s="1">
        <v>6.92</v>
      </c>
      <c r="O5" s="1">
        <v>6.83</v>
      </c>
      <c r="P5" s="1" t="s">
        <v>43</v>
      </c>
      <c r="Q5" s="1"/>
      <c r="R5" s="1"/>
      <c r="S5" s="1"/>
      <c r="T5" s="1"/>
      <c r="U5" s="1"/>
      <c r="V5" s="3">
        <v>444</v>
      </c>
      <c r="W5" s="3">
        <v>412</v>
      </c>
      <c r="X5" s="3">
        <v>430</v>
      </c>
      <c r="Y5" s="3">
        <v>299</v>
      </c>
      <c r="Z5" s="2">
        <v>48</v>
      </c>
      <c r="AA5" s="2">
        <v>1</v>
      </c>
      <c r="AB5" s="2">
        <v>46</v>
      </c>
      <c r="AC5" s="2">
        <v>1</v>
      </c>
      <c r="AD5" s="2" t="s">
        <v>242</v>
      </c>
      <c r="AE5" s="2">
        <v>0.80073899999999998</v>
      </c>
      <c r="AF5" s="2">
        <v>0.46972000000000003</v>
      </c>
      <c r="AG5" s="2">
        <v>1.358784</v>
      </c>
      <c r="AH5" s="2" t="s">
        <v>8</v>
      </c>
      <c r="AI5" s="2">
        <v>285</v>
      </c>
      <c r="AJ5" s="2">
        <v>182</v>
      </c>
      <c r="AK5" s="2" t="s">
        <v>99</v>
      </c>
      <c r="AL5" s="2">
        <v>40</v>
      </c>
      <c r="AM5" s="2">
        <v>0</v>
      </c>
      <c r="AN5" s="2">
        <v>42</v>
      </c>
      <c r="AO5" s="2">
        <v>0</v>
      </c>
      <c r="AP5" s="2">
        <v>6</v>
      </c>
      <c r="AQ5" s="2">
        <v>5</v>
      </c>
      <c r="AR5" s="2">
        <v>6</v>
      </c>
      <c r="AS5" s="2">
        <v>6</v>
      </c>
      <c r="AT5" s="2" t="s">
        <v>341</v>
      </c>
      <c r="AU5" s="2">
        <v>4210</v>
      </c>
      <c r="AV5" s="2">
        <v>1</v>
      </c>
      <c r="AW5" s="2">
        <v>2923</v>
      </c>
      <c r="AX5" s="2">
        <v>9</v>
      </c>
      <c r="AY5" s="2">
        <v>0.21</v>
      </c>
      <c r="AZ5" s="2">
        <v>121</v>
      </c>
      <c r="BA5" t="s">
        <v>25</v>
      </c>
      <c r="BB5">
        <v>1977</v>
      </c>
      <c r="BC5">
        <v>62</v>
      </c>
      <c r="BD5">
        <v>13536</v>
      </c>
      <c r="BE5">
        <v>248</v>
      </c>
      <c r="BF5">
        <v>12619</v>
      </c>
      <c r="BG5">
        <v>52</v>
      </c>
      <c r="BH5" t="s">
        <v>277</v>
      </c>
      <c r="BI5" s="2">
        <v>-1.44155119</v>
      </c>
      <c r="BJ5" s="2">
        <v>2.0010032000000001E-2</v>
      </c>
    </row>
    <row r="6" spans="1:62" x14ac:dyDescent="0.55000000000000004">
      <c r="A6" s="1">
        <v>810</v>
      </c>
      <c r="B6" s="1">
        <v>85</v>
      </c>
      <c r="C6" s="1">
        <v>406</v>
      </c>
      <c r="D6" s="1">
        <v>52</v>
      </c>
      <c r="E6" s="1" t="s">
        <v>299</v>
      </c>
      <c r="F6" s="1">
        <v>2646</v>
      </c>
      <c r="G6" s="1">
        <v>1350</v>
      </c>
      <c r="H6" s="1">
        <v>68</v>
      </c>
      <c r="I6" s="1">
        <v>7</v>
      </c>
      <c r="J6" s="1">
        <v>9</v>
      </c>
      <c r="K6" s="1">
        <v>3.75</v>
      </c>
      <c r="L6" s="1">
        <v>2.5499999999999998</v>
      </c>
      <c r="M6" s="1">
        <v>22</v>
      </c>
      <c r="N6" s="1">
        <v>1.05</v>
      </c>
      <c r="O6" s="1">
        <v>2.12</v>
      </c>
      <c r="P6" s="1" t="s">
        <v>338</v>
      </c>
      <c r="Q6" s="1"/>
      <c r="R6" s="1"/>
      <c r="S6" s="1"/>
      <c r="T6" s="1"/>
      <c r="U6" s="1"/>
      <c r="V6" s="3">
        <v>1357</v>
      </c>
      <c r="W6" s="3">
        <v>1350</v>
      </c>
      <c r="X6" s="3">
        <v>1357</v>
      </c>
      <c r="Y6" s="3">
        <v>1296</v>
      </c>
      <c r="Z6" s="2">
        <v>150</v>
      </c>
      <c r="AA6" s="2">
        <v>10</v>
      </c>
      <c r="AB6" s="2">
        <v>148</v>
      </c>
      <c r="AC6" s="2">
        <v>8</v>
      </c>
      <c r="AD6" s="2" t="s">
        <v>18</v>
      </c>
      <c r="AE6" s="2">
        <v>0.79814300000000005</v>
      </c>
      <c r="AF6" s="2">
        <v>0.545041</v>
      </c>
      <c r="AG6" s="2">
        <v>1.177753</v>
      </c>
      <c r="AH6" s="2" t="s">
        <v>299</v>
      </c>
      <c r="AI6" s="2">
        <v>73</v>
      </c>
      <c r="AJ6" s="2">
        <v>65</v>
      </c>
      <c r="AK6" s="2" t="s">
        <v>32</v>
      </c>
      <c r="AL6" s="2">
        <v>46</v>
      </c>
      <c r="AM6" s="2">
        <v>0</v>
      </c>
      <c r="AN6" s="2">
        <v>32</v>
      </c>
      <c r="AO6" s="2">
        <v>0</v>
      </c>
      <c r="AP6" s="2">
        <v>2</v>
      </c>
      <c r="AQ6" s="2">
        <v>2</v>
      </c>
      <c r="AR6" s="2">
        <v>5</v>
      </c>
      <c r="AS6" s="2">
        <v>5</v>
      </c>
      <c r="AT6" s="2" t="s">
        <v>484</v>
      </c>
      <c r="AU6" s="2">
        <v>554</v>
      </c>
      <c r="AV6" s="2">
        <v>1</v>
      </c>
      <c r="AW6" s="2">
        <v>692</v>
      </c>
      <c r="AX6" s="2">
        <v>3</v>
      </c>
      <c r="AY6" s="2">
        <v>0.6</v>
      </c>
      <c r="AZ6" s="2">
        <v>111</v>
      </c>
      <c r="BA6" t="s">
        <v>98</v>
      </c>
      <c r="BB6">
        <v>1973</v>
      </c>
      <c r="BC6">
        <v>33</v>
      </c>
      <c r="BD6">
        <v>5036</v>
      </c>
      <c r="BE6">
        <v>47</v>
      </c>
      <c r="BF6">
        <v>5761</v>
      </c>
      <c r="BG6">
        <v>13</v>
      </c>
      <c r="BH6" t="s">
        <v>425</v>
      </c>
      <c r="BI6" s="2">
        <v>-0.21754731999999999</v>
      </c>
      <c r="BJ6" s="2">
        <v>5.1210171999999998E-2</v>
      </c>
    </row>
    <row r="7" spans="1:62" x14ac:dyDescent="0.55000000000000004">
      <c r="A7" s="1">
        <v>2267</v>
      </c>
      <c r="B7" s="1">
        <v>246</v>
      </c>
      <c r="C7" s="1">
        <v>2257</v>
      </c>
      <c r="D7" s="1">
        <v>219</v>
      </c>
      <c r="E7" s="1" t="s">
        <v>135</v>
      </c>
      <c r="F7" s="1">
        <v>166</v>
      </c>
      <c r="G7" s="1">
        <v>60</v>
      </c>
      <c r="H7" s="1">
        <v>30</v>
      </c>
      <c r="I7" s="1">
        <v>3</v>
      </c>
      <c r="J7" s="1">
        <v>63</v>
      </c>
      <c r="K7" s="1">
        <v>60</v>
      </c>
      <c r="L7" s="1">
        <v>13.3</v>
      </c>
      <c r="M7" s="1">
        <v>40</v>
      </c>
      <c r="N7" s="1">
        <v>46.3</v>
      </c>
      <c r="O7" s="1">
        <v>18.600000000000001</v>
      </c>
      <c r="P7" s="1" t="s">
        <v>157</v>
      </c>
      <c r="Q7" s="1"/>
      <c r="R7" s="1"/>
      <c r="S7" s="1"/>
      <c r="T7" s="1"/>
      <c r="U7" s="1"/>
      <c r="V7" s="3">
        <v>63</v>
      </c>
      <c r="W7" s="3">
        <v>60</v>
      </c>
      <c r="X7" s="3">
        <v>133</v>
      </c>
      <c r="Y7" s="3">
        <v>106</v>
      </c>
      <c r="Z7" s="2">
        <v>59</v>
      </c>
      <c r="AA7" s="2">
        <v>1</v>
      </c>
      <c r="AB7" s="2">
        <v>56</v>
      </c>
      <c r="AC7" s="2">
        <v>9</v>
      </c>
      <c r="AD7" s="2" t="s">
        <v>496</v>
      </c>
      <c r="AE7" s="2">
        <v>1.132736</v>
      </c>
      <c r="AF7" s="2">
        <v>0.93038500000000002</v>
      </c>
      <c r="AG7" s="2">
        <v>1.37967</v>
      </c>
      <c r="AH7" s="2" t="s">
        <v>135</v>
      </c>
      <c r="AI7" s="2">
        <v>116</v>
      </c>
      <c r="AJ7" s="2">
        <v>66</v>
      </c>
      <c r="AK7" s="2" t="s">
        <v>149</v>
      </c>
      <c r="AL7" s="2">
        <v>15</v>
      </c>
      <c r="AM7" s="2">
        <v>0</v>
      </c>
      <c r="AN7" s="2">
        <v>14</v>
      </c>
      <c r="AO7" s="2">
        <v>1</v>
      </c>
      <c r="AU7" s="2">
        <v>4978</v>
      </c>
      <c r="AV7" s="2">
        <v>0</v>
      </c>
      <c r="AW7" s="2">
        <v>8634</v>
      </c>
      <c r="AX7" s="2">
        <v>2</v>
      </c>
      <c r="AY7" s="2">
        <v>0.46</v>
      </c>
      <c r="AZ7" s="2">
        <v>119</v>
      </c>
      <c r="BA7" t="s">
        <v>20</v>
      </c>
      <c r="BB7">
        <v>1953</v>
      </c>
      <c r="BC7">
        <v>180</v>
      </c>
      <c r="BD7">
        <v>1361</v>
      </c>
      <c r="BE7">
        <v>372</v>
      </c>
      <c r="BF7">
        <v>1079</v>
      </c>
      <c r="BG7">
        <v>44</v>
      </c>
      <c r="BH7" t="s">
        <v>425</v>
      </c>
      <c r="BI7" s="2">
        <v>-0.78611558999999998</v>
      </c>
      <c r="BJ7" s="2">
        <v>6.9056179999999997E-3</v>
      </c>
    </row>
    <row r="8" spans="1:62" x14ac:dyDescent="0.55000000000000004">
      <c r="A8" s="1">
        <v>8587</v>
      </c>
      <c r="B8" s="1">
        <v>1570</v>
      </c>
      <c r="C8" s="1">
        <v>8600</v>
      </c>
      <c r="D8" s="1">
        <v>1720</v>
      </c>
      <c r="E8" s="1" t="s">
        <v>367</v>
      </c>
      <c r="F8" s="1">
        <v>993</v>
      </c>
      <c r="G8" s="1">
        <v>459</v>
      </c>
      <c r="H8" s="1">
        <v>99</v>
      </c>
      <c r="I8" s="1">
        <v>18</v>
      </c>
      <c r="J8" s="1">
        <v>23</v>
      </c>
      <c r="K8" s="1">
        <v>9.24</v>
      </c>
      <c r="L8" s="1">
        <v>5.35</v>
      </c>
      <c r="M8" s="1">
        <v>23</v>
      </c>
      <c r="N8" s="1">
        <v>5.33</v>
      </c>
      <c r="O8" s="1">
        <v>4.4800000000000004</v>
      </c>
      <c r="P8" s="1" t="s">
        <v>344</v>
      </c>
      <c r="Q8" s="1"/>
      <c r="R8" s="1"/>
      <c r="S8" s="1"/>
      <c r="T8" s="1"/>
      <c r="U8" s="1"/>
      <c r="V8" s="3">
        <v>477</v>
      </c>
      <c r="W8" s="3">
        <v>459</v>
      </c>
      <c r="X8" s="3">
        <v>615</v>
      </c>
      <c r="Y8" s="3">
        <v>534</v>
      </c>
      <c r="Z8" s="2">
        <v>25</v>
      </c>
      <c r="AA8" s="2">
        <v>1</v>
      </c>
      <c r="AB8" s="2">
        <v>23</v>
      </c>
      <c r="AC8" s="2">
        <v>3</v>
      </c>
      <c r="AD8" s="2" t="s">
        <v>136</v>
      </c>
      <c r="AE8" s="2">
        <v>0.89496900000000001</v>
      </c>
      <c r="AF8" s="2">
        <v>0.82878300000000005</v>
      </c>
      <c r="AG8" s="2">
        <v>0.96641100000000002</v>
      </c>
      <c r="AH8" s="2" t="s">
        <v>367</v>
      </c>
      <c r="AI8" s="2">
        <v>183</v>
      </c>
      <c r="AJ8" s="2">
        <v>99</v>
      </c>
      <c r="AK8" s="2" t="s">
        <v>477</v>
      </c>
      <c r="AL8" s="2">
        <v>100</v>
      </c>
      <c r="AM8" s="2">
        <v>0</v>
      </c>
      <c r="AN8" s="2">
        <v>51</v>
      </c>
      <c r="AO8" s="2">
        <v>0</v>
      </c>
      <c r="AU8" s="2">
        <v>45880</v>
      </c>
      <c r="AV8" s="2">
        <v>10</v>
      </c>
      <c r="AW8" s="2">
        <v>66208</v>
      </c>
      <c r="AX8" s="2">
        <v>45</v>
      </c>
      <c r="AY8" s="2">
        <v>0.22</v>
      </c>
      <c r="AZ8" s="2">
        <v>112</v>
      </c>
      <c r="BA8" t="s">
        <v>382</v>
      </c>
      <c r="BB8">
        <v>1973</v>
      </c>
      <c r="BC8">
        <v>8</v>
      </c>
      <c r="BD8">
        <v>2537</v>
      </c>
      <c r="BE8">
        <v>10</v>
      </c>
      <c r="BF8">
        <v>619</v>
      </c>
      <c r="BG8">
        <v>19</v>
      </c>
      <c r="BH8" t="s">
        <v>277</v>
      </c>
      <c r="BI8" s="2">
        <v>-1.6208982199999999</v>
      </c>
      <c r="BJ8" s="2">
        <v>0.223017248</v>
      </c>
    </row>
    <row r="9" spans="1:62" x14ac:dyDescent="0.55000000000000004">
      <c r="F9" s="1">
        <v>961</v>
      </c>
      <c r="G9" s="1">
        <v>499</v>
      </c>
      <c r="H9" s="1">
        <v>75</v>
      </c>
      <c r="I9" s="1">
        <v>19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3">
        <v>518</v>
      </c>
      <c r="W9" s="3">
        <v>499</v>
      </c>
      <c r="X9" s="3">
        <v>518</v>
      </c>
      <c r="Y9" s="3">
        <v>462</v>
      </c>
      <c r="Z9" s="2">
        <v>22</v>
      </c>
      <c r="AA9" s="2">
        <v>0</v>
      </c>
      <c r="AB9" s="2">
        <v>21</v>
      </c>
      <c r="AC9" s="2">
        <v>1</v>
      </c>
      <c r="AD9" s="2" t="s">
        <v>332</v>
      </c>
      <c r="AI9" s="2">
        <v>696</v>
      </c>
      <c r="AJ9" s="2">
        <v>600</v>
      </c>
      <c r="AK9" s="2" t="s">
        <v>2</v>
      </c>
      <c r="AL9" s="2">
        <v>36</v>
      </c>
      <c r="AM9" s="2">
        <v>0</v>
      </c>
      <c r="AN9" s="2">
        <v>39</v>
      </c>
      <c r="AO9" s="2">
        <v>0</v>
      </c>
      <c r="AY9" s="2">
        <v>0.25</v>
      </c>
      <c r="AZ9" s="2">
        <v>145</v>
      </c>
      <c r="BA9" t="s">
        <v>443</v>
      </c>
      <c r="BB9">
        <v>1980</v>
      </c>
      <c r="BC9">
        <v>505</v>
      </c>
      <c r="BD9">
        <v>87886</v>
      </c>
      <c r="BE9">
        <v>499</v>
      </c>
      <c r="BF9">
        <v>87892</v>
      </c>
      <c r="BG9">
        <v>13</v>
      </c>
      <c r="BH9" t="s">
        <v>277</v>
      </c>
      <c r="BI9" s="2">
        <v>1.1952330000000001E-2</v>
      </c>
      <c r="BJ9" s="2">
        <v>3.9615789999999998E-3</v>
      </c>
    </row>
    <row r="10" spans="1:62" x14ac:dyDescent="0.55000000000000004">
      <c r="F10" s="1">
        <v>2180</v>
      </c>
      <c r="G10" s="1">
        <v>451</v>
      </c>
      <c r="H10" s="1">
        <v>675</v>
      </c>
      <c r="I10" s="1">
        <v>39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3">
        <v>490</v>
      </c>
      <c r="W10" s="3">
        <v>451</v>
      </c>
      <c r="X10" s="3">
        <v>2365</v>
      </c>
      <c r="Y10" s="3">
        <v>1729</v>
      </c>
      <c r="Z10" s="2">
        <v>76</v>
      </c>
      <c r="AA10" s="2">
        <v>6</v>
      </c>
      <c r="AB10" s="2">
        <v>75</v>
      </c>
      <c r="AC10" s="2">
        <v>11</v>
      </c>
      <c r="AD10" s="2" t="s">
        <v>171</v>
      </c>
      <c r="AI10" s="2">
        <v>57</v>
      </c>
      <c r="AJ10" s="2">
        <v>45</v>
      </c>
      <c r="AK10" s="2" t="s">
        <v>429</v>
      </c>
      <c r="AL10" s="2">
        <v>50</v>
      </c>
      <c r="AM10" s="2">
        <v>0</v>
      </c>
      <c r="AN10" s="2">
        <v>25</v>
      </c>
      <c r="AO10" s="2">
        <v>0</v>
      </c>
      <c r="BA10" t="s">
        <v>163</v>
      </c>
      <c r="BB10">
        <v>1968</v>
      </c>
      <c r="BC10">
        <v>29</v>
      </c>
      <c r="BD10">
        <v>7470</v>
      </c>
      <c r="BE10">
        <v>45</v>
      </c>
      <c r="BF10">
        <v>7232</v>
      </c>
      <c r="BG10">
        <v>27</v>
      </c>
      <c r="BH10" t="s">
        <v>277</v>
      </c>
      <c r="BI10" s="2">
        <v>-0.46941765000000002</v>
      </c>
      <c r="BJ10" s="2">
        <v>5.6434209999999999E-2</v>
      </c>
    </row>
    <row r="11" spans="1:62" x14ac:dyDescent="0.55000000000000004">
      <c r="F11" s="1">
        <v>519</v>
      </c>
      <c r="G11" s="1">
        <v>260</v>
      </c>
      <c r="H11" s="1">
        <v>33</v>
      </c>
      <c r="I11" s="1">
        <v>5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3">
        <v>265</v>
      </c>
      <c r="W11" s="3">
        <v>260</v>
      </c>
      <c r="X11" s="3">
        <v>287</v>
      </c>
      <c r="Y11" s="3">
        <v>259</v>
      </c>
      <c r="Z11" s="2">
        <v>27</v>
      </c>
      <c r="AA11" s="2">
        <v>1</v>
      </c>
      <c r="AB11" s="2">
        <v>27</v>
      </c>
      <c r="AC11" s="2">
        <v>7</v>
      </c>
      <c r="AD11" s="2" t="s">
        <v>464</v>
      </c>
      <c r="AI11" s="2">
        <v>277</v>
      </c>
      <c r="AJ11" s="2">
        <v>165</v>
      </c>
      <c r="AK11" s="2" t="s">
        <v>116</v>
      </c>
      <c r="AL11" s="2">
        <v>41</v>
      </c>
      <c r="AM11" s="2">
        <v>0</v>
      </c>
      <c r="AN11" s="2">
        <v>19</v>
      </c>
      <c r="AO11" s="2">
        <v>0</v>
      </c>
      <c r="BA11" t="s">
        <v>311</v>
      </c>
      <c r="BB11">
        <v>1961</v>
      </c>
      <c r="BC11">
        <v>17</v>
      </c>
      <c r="BD11">
        <v>1699</v>
      </c>
      <c r="BE11">
        <v>65</v>
      </c>
      <c r="BF11">
        <v>1600</v>
      </c>
      <c r="BG11">
        <v>42</v>
      </c>
      <c r="BH11" t="s">
        <v>424</v>
      </c>
      <c r="BI11" s="2">
        <v>-1.3713447999999999</v>
      </c>
      <c r="BJ11" s="2">
        <v>7.3024794000000004E-2</v>
      </c>
    </row>
    <row r="12" spans="1:62" x14ac:dyDescent="0.55000000000000004">
      <c r="Z12" s="2">
        <v>89</v>
      </c>
      <c r="AA12" s="2">
        <v>2</v>
      </c>
      <c r="AB12" s="2">
        <v>80</v>
      </c>
      <c r="AC12" s="2">
        <v>12</v>
      </c>
      <c r="AD12" s="2" t="s">
        <v>356</v>
      </c>
      <c r="AI12" s="2">
        <v>35</v>
      </c>
      <c r="AJ12" s="2">
        <v>32</v>
      </c>
      <c r="AK12" s="2" t="s">
        <v>337</v>
      </c>
      <c r="AL12" s="2">
        <v>116</v>
      </c>
      <c r="AM12" s="2">
        <v>0</v>
      </c>
      <c r="AN12" s="2">
        <v>40</v>
      </c>
      <c r="AO12" s="2">
        <v>0</v>
      </c>
      <c r="BA12" t="s">
        <v>354</v>
      </c>
      <c r="BB12">
        <v>1974</v>
      </c>
      <c r="BC12">
        <v>186</v>
      </c>
      <c r="BD12">
        <v>50448</v>
      </c>
      <c r="BE12">
        <v>141</v>
      </c>
      <c r="BF12">
        <v>27197</v>
      </c>
      <c r="BG12">
        <v>18</v>
      </c>
      <c r="BH12" t="s">
        <v>424</v>
      </c>
      <c r="BI12" s="2">
        <v>-0.33935883</v>
      </c>
      <c r="BJ12" s="2">
        <v>1.2412214E-2</v>
      </c>
    </row>
    <row r="13" spans="1:62" x14ac:dyDescent="0.55000000000000004">
      <c r="Z13" s="2">
        <v>23</v>
      </c>
      <c r="AA13" s="2">
        <v>5</v>
      </c>
      <c r="AB13" s="2">
        <v>33</v>
      </c>
      <c r="AC13" s="2">
        <v>13</v>
      </c>
      <c r="AD13" s="2" t="s">
        <v>509</v>
      </c>
      <c r="AI13" s="2">
        <v>60</v>
      </c>
      <c r="AJ13" s="2">
        <v>49</v>
      </c>
      <c r="AK13" s="2" t="s">
        <v>290</v>
      </c>
      <c r="AL13" s="2">
        <v>15</v>
      </c>
      <c r="AM13" s="2">
        <v>1</v>
      </c>
      <c r="AN13" s="2">
        <v>16</v>
      </c>
      <c r="AO13" s="2">
        <v>0</v>
      </c>
      <c r="BA13" t="s">
        <v>264</v>
      </c>
      <c r="BB13">
        <v>1969</v>
      </c>
      <c r="BC13">
        <v>5</v>
      </c>
      <c r="BD13">
        <v>2493</v>
      </c>
      <c r="BE13">
        <v>3</v>
      </c>
      <c r="BF13">
        <v>2338</v>
      </c>
      <c r="BG13">
        <v>33</v>
      </c>
      <c r="BH13" t="s">
        <v>424</v>
      </c>
      <c r="BI13" s="2">
        <v>0.44591340000000002</v>
      </c>
      <c r="BJ13" s="2">
        <v>0.53250584499999998</v>
      </c>
    </row>
    <row r="14" spans="1:62" x14ac:dyDescent="0.55000000000000004">
      <c r="Z14" s="2">
        <v>130</v>
      </c>
      <c r="AA14" s="2">
        <v>4</v>
      </c>
      <c r="AB14" s="2">
        <v>122</v>
      </c>
      <c r="AC14" s="2">
        <v>8</v>
      </c>
      <c r="AD14" s="2" t="s">
        <v>451</v>
      </c>
      <c r="AI14" s="2">
        <v>199</v>
      </c>
      <c r="AJ14" s="2">
        <v>175</v>
      </c>
      <c r="AK14" s="2" t="s">
        <v>476</v>
      </c>
      <c r="AL14" s="2">
        <v>21</v>
      </c>
      <c r="AM14" s="2">
        <v>0</v>
      </c>
      <c r="AN14" s="2">
        <v>19</v>
      </c>
      <c r="AO14" s="2">
        <v>0</v>
      </c>
      <c r="BA14" t="s">
        <v>354</v>
      </c>
      <c r="BB14">
        <v>1976</v>
      </c>
      <c r="BC14">
        <v>27</v>
      </c>
      <c r="BD14">
        <v>16886</v>
      </c>
      <c r="BE14">
        <v>29</v>
      </c>
      <c r="BF14">
        <v>17825</v>
      </c>
      <c r="BG14">
        <v>33</v>
      </c>
      <c r="BH14" t="s">
        <v>424</v>
      </c>
      <c r="BI14" s="2">
        <v>-1.7313950000000002E-2</v>
      </c>
      <c r="BJ14" s="2">
        <v>7.1404659999999995E-2</v>
      </c>
    </row>
    <row r="15" spans="1:62" x14ac:dyDescent="0.55000000000000004">
      <c r="Z15" s="2">
        <v>1159</v>
      </c>
      <c r="AA15" s="2">
        <v>90</v>
      </c>
      <c r="AB15" s="2">
        <v>1157</v>
      </c>
      <c r="AC15" s="2">
        <v>118</v>
      </c>
      <c r="AD15" s="2" t="s">
        <v>24</v>
      </c>
      <c r="AI15" s="2">
        <v>311</v>
      </c>
      <c r="AJ15" s="2">
        <v>155</v>
      </c>
      <c r="AK15" s="2" t="s">
        <v>36</v>
      </c>
      <c r="AL15" s="2">
        <v>20</v>
      </c>
      <c r="AM15" s="2">
        <v>1</v>
      </c>
      <c r="AN15" s="2">
        <v>20</v>
      </c>
      <c r="AO15" s="2">
        <v>1</v>
      </c>
    </row>
    <row r="16" spans="1:62" x14ac:dyDescent="0.55000000000000004">
      <c r="Z16" s="2">
        <v>107</v>
      </c>
      <c r="AA16" s="2">
        <v>4</v>
      </c>
      <c r="AB16" s="2">
        <v>108</v>
      </c>
      <c r="AC16" s="2">
        <v>17</v>
      </c>
      <c r="AD16" s="2" t="s">
        <v>219</v>
      </c>
      <c r="AI16" s="2">
        <v>81</v>
      </c>
      <c r="AJ16" s="2">
        <v>64</v>
      </c>
      <c r="AK16" s="2" t="s">
        <v>458</v>
      </c>
      <c r="AL16" s="2">
        <v>61</v>
      </c>
      <c r="AM16" s="2">
        <v>0</v>
      </c>
      <c r="AN16" s="2">
        <v>39</v>
      </c>
      <c r="AO16" s="2">
        <v>0</v>
      </c>
    </row>
    <row r="17" spans="26:41" x14ac:dyDescent="0.55000000000000004">
      <c r="Z17" s="2">
        <v>29011</v>
      </c>
      <c r="AA17" s="2">
        <v>2216</v>
      </c>
      <c r="AB17" s="2">
        <v>29039</v>
      </c>
      <c r="AC17" s="2">
        <v>2103</v>
      </c>
      <c r="AD17" s="2" t="s">
        <v>104</v>
      </c>
      <c r="AI17" s="2">
        <v>537</v>
      </c>
      <c r="AJ17" s="2">
        <v>526</v>
      </c>
      <c r="AK17" s="2" t="s">
        <v>234</v>
      </c>
      <c r="AL17" s="2">
        <v>60</v>
      </c>
      <c r="AM17" s="2">
        <v>0</v>
      </c>
      <c r="AN17" s="2">
        <v>54</v>
      </c>
      <c r="AO17" s="2">
        <v>0</v>
      </c>
    </row>
    <row r="18" spans="26:41" x14ac:dyDescent="0.55000000000000004">
      <c r="AI18" s="2">
        <v>107</v>
      </c>
      <c r="AJ18" s="2">
        <v>104</v>
      </c>
      <c r="AK18" s="2" t="s">
        <v>54</v>
      </c>
      <c r="AL18" s="2">
        <v>76</v>
      </c>
      <c r="AM18" s="2">
        <v>0</v>
      </c>
      <c r="AN18" s="2">
        <v>24</v>
      </c>
      <c r="AO18" s="2">
        <v>0</v>
      </c>
    </row>
    <row r="19" spans="26:41" x14ac:dyDescent="0.55000000000000004">
      <c r="AI19" s="2">
        <v>102</v>
      </c>
      <c r="AJ19" s="2">
        <v>97</v>
      </c>
      <c r="AK19" s="2" t="s">
        <v>127</v>
      </c>
      <c r="AL19" s="2">
        <v>44</v>
      </c>
      <c r="AM19" s="2">
        <v>0</v>
      </c>
      <c r="AN19" s="2">
        <v>48</v>
      </c>
      <c r="AO19" s="2">
        <v>0</v>
      </c>
    </row>
    <row r="20" spans="26:41" x14ac:dyDescent="0.55000000000000004">
      <c r="AI20" s="2">
        <v>4612</v>
      </c>
      <c r="AJ20" s="2">
        <v>2310</v>
      </c>
      <c r="AK20" s="2" t="s">
        <v>413</v>
      </c>
      <c r="AL20" s="2">
        <v>29</v>
      </c>
      <c r="AM20" s="2">
        <v>1</v>
      </c>
      <c r="AN20" s="2">
        <v>26</v>
      </c>
      <c r="AO20" s="2">
        <v>0</v>
      </c>
    </row>
    <row r="21" spans="26:41" x14ac:dyDescent="0.55000000000000004">
      <c r="AI21" s="2">
        <v>91</v>
      </c>
      <c r="AJ21" s="2">
        <v>72</v>
      </c>
      <c r="AK21" s="2" t="s">
        <v>363</v>
      </c>
      <c r="AL21" s="2">
        <v>56</v>
      </c>
      <c r="AM21" s="2">
        <v>0</v>
      </c>
      <c r="AN21" s="2">
        <v>121</v>
      </c>
      <c r="AO21" s="2">
        <v>0</v>
      </c>
    </row>
    <row r="22" spans="26:41" x14ac:dyDescent="0.55000000000000004">
      <c r="AI22" s="2">
        <v>37</v>
      </c>
      <c r="AJ22" s="2">
        <v>37</v>
      </c>
      <c r="AK22" s="2" t="s">
        <v>268</v>
      </c>
      <c r="AL22" s="2">
        <v>84</v>
      </c>
      <c r="AM22" s="2">
        <v>1</v>
      </c>
      <c r="AN22" s="2">
        <v>84</v>
      </c>
      <c r="AO22" s="2">
        <v>3</v>
      </c>
    </row>
    <row r="23" spans="26:41" x14ac:dyDescent="0.55000000000000004">
      <c r="AI23" s="2">
        <v>87</v>
      </c>
      <c r="AJ23" s="2">
        <v>31</v>
      </c>
      <c r="AK23" s="2" t="s">
        <v>90</v>
      </c>
      <c r="AL23" s="2">
        <v>120</v>
      </c>
      <c r="AM23" s="2">
        <v>0</v>
      </c>
      <c r="AN23" s="2">
        <v>30</v>
      </c>
      <c r="AO23" s="2">
        <v>0</v>
      </c>
    </row>
    <row r="24" spans="26:41" x14ac:dyDescent="0.55000000000000004">
      <c r="AL24" s="2">
        <v>68</v>
      </c>
      <c r="AM24" s="2">
        <v>3</v>
      </c>
      <c r="AN24" s="2">
        <v>66</v>
      </c>
      <c r="AO24" s="2">
        <v>0</v>
      </c>
    </row>
  </sheetData>
  <printOptions gridLines="1"/>
  <pageMargins left="0.75" right="0.75" top="1" bottom="1" header="0" footer="0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17"/>
  <sheetViews>
    <sheetView workbookViewId="0"/>
  </sheetViews>
  <sheetFormatPr defaultColWidth="10.27734375" defaultRowHeight="14.4" x14ac:dyDescent="0.55000000000000004"/>
  <cols>
    <col min="1" max="1" width="6" style="2" bestFit="1" customWidth="1"/>
    <col min="2" max="2" width="5.44140625" style="2" bestFit="1" customWidth="1"/>
    <col min="3" max="3" width="9.44140625" style="2" bestFit="1" customWidth="1"/>
    <col min="4" max="4" width="9.1640625" style="2" bestFit="1" customWidth="1"/>
    <col min="5" max="5" width="10.71875" style="2" bestFit="1" customWidth="1"/>
    <col min="6" max="6" width="7.71875" style="2" bestFit="1" customWidth="1"/>
    <col min="7" max="7" width="19.83203125" style="2" bestFit="1" customWidth="1"/>
    <col min="8" max="8" width="17.71875" style="2" bestFit="1" customWidth="1"/>
    <col min="9" max="9" width="15.83203125" style="2" bestFit="1" customWidth="1"/>
    <col min="10" max="10" width="18.1640625" style="2" bestFit="1" customWidth="1"/>
    <col min="11" max="11" width="13.44140625" style="1" bestFit="1" customWidth="1"/>
    <col min="12" max="12" width="16.83203125" style="1" bestFit="1" customWidth="1"/>
    <col min="13" max="13" width="10.71875" style="2" bestFit="1" customWidth="1"/>
    <col min="14" max="14" width="10.27734375" style="2" bestFit="1" customWidth="1"/>
    <col min="15" max="15" width="19.83203125" style="2" bestFit="1" customWidth="1"/>
    <col min="16" max="16" width="21.1640625" style="2" bestFit="1" customWidth="1"/>
    <col min="17" max="17" width="15.1640625" style="2" bestFit="1" customWidth="1"/>
    <col min="18" max="18" width="19.5546875" style="1" bestFit="1" customWidth="1"/>
    <col min="19" max="19" width="22.71875" style="1" bestFit="1" customWidth="1"/>
    <col min="20" max="20" width="20" style="1" bestFit="1" customWidth="1"/>
    <col min="21" max="21" width="17.27734375" style="1" bestFit="1" customWidth="1"/>
    <col min="22" max="22" width="9" style="1" bestFit="1" customWidth="1"/>
    <col min="23" max="23" width="9.27734375" style="1" bestFit="1" customWidth="1"/>
    <col min="24" max="24" width="7.71875" style="2" bestFit="1" customWidth="1"/>
    <col min="25" max="25" width="6.1640625" style="2" bestFit="1" customWidth="1"/>
    <col min="26" max="26" width="10.71875" style="2" bestFit="1" customWidth="1"/>
    <col min="27" max="27" width="10.5546875" style="2" bestFit="1" customWidth="1"/>
    <col min="28" max="29" width="9" style="2" bestFit="1" customWidth="1"/>
    <col min="30" max="30" width="8.27734375" style="2" bestFit="1" customWidth="1"/>
    <col min="31" max="31" width="5" style="2" bestFit="1" customWidth="1"/>
    <col min="32" max="32" width="7.27734375" style="2" bestFit="1" customWidth="1"/>
    <col min="33" max="33" width="12" style="2" bestFit="1" customWidth="1"/>
    <col min="34" max="34" width="12.5546875" style="2" bestFit="1" customWidth="1"/>
    <col min="35" max="35" width="15.83203125" style="2" bestFit="1" customWidth="1"/>
    <col min="36" max="36" width="9.71875" style="2" bestFit="1" customWidth="1"/>
    <col min="37" max="16384" width="10.27734375" style="2"/>
  </cols>
  <sheetData>
    <row r="1" spans="1:36" x14ac:dyDescent="0.55000000000000004">
      <c r="A1" s="1" t="s">
        <v>183</v>
      </c>
      <c r="B1" s="1" t="s">
        <v>369</v>
      </c>
      <c r="C1" s="1" t="s">
        <v>462</v>
      </c>
      <c r="D1" s="1" t="s">
        <v>353</v>
      </c>
      <c r="E1" s="1" t="s">
        <v>232</v>
      </c>
      <c r="F1" s="1" t="s">
        <v>173</v>
      </c>
      <c r="G1" s="1" t="s">
        <v>547</v>
      </c>
      <c r="H1" s="1" t="s">
        <v>545</v>
      </c>
      <c r="I1" s="1" t="s">
        <v>546</v>
      </c>
      <c r="J1" s="1" t="s">
        <v>550</v>
      </c>
      <c r="K1" s="1" t="s">
        <v>13</v>
      </c>
      <c r="L1" s="1" t="s">
        <v>92</v>
      </c>
      <c r="M1" s="1" t="s">
        <v>225</v>
      </c>
      <c r="N1" s="1" t="s">
        <v>391</v>
      </c>
      <c r="O1" s="1" t="s">
        <v>433</v>
      </c>
      <c r="P1" s="1" t="s">
        <v>500</v>
      </c>
      <c r="Q1" s="2" t="s">
        <v>81</v>
      </c>
      <c r="R1" s="1" t="s">
        <v>128</v>
      </c>
      <c r="S1" s="1" t="s">
        <v>471</v>
      </c>
      <c r="T1" s="1" t="s">
        <v>406</v>
      </c>
      <c r="U1" s="1" t="s">
        <v>422</v>
      </c>
      <c r="V1" s="1" t="s">
        <v>303</v>
      </c>
      <c r="W1" s="1" t="s">
        <v>417</v>
      </c>
      <c r="X1" s="2" t="s">
        <v>259</v>
      </c>
      <c r="Y1" s="2" t="s">
        <v>245</v>
      </c>
      <c r="Z1" s="2" t="s">
        <v>64</v>
      </c>
      <c r="AA1" s="2" t="s">
        <v>143</v>
      </c>
      <c r="AB1" s="2" t="s">
        <v>182</v>
      </c>
      <c r="AC1" s="2" t="s">
        <v>385</v>
      </c>
      <c r="AD1" s="2" t="s">
        <v>192</v>
      </c>
      <c r="AE1" s="2" t="s">
        <v>366</v>
      </c>
      <c r="AF1" s="2" t="s">
        <v>52</v>
      </c>
      <c r="AG1" s="2" t="s">
        <v>10</v>
      </c>
      <c r="AH1" s="2" t="s">
        <v>84</v>
      </c>
      <c r="AI1" s="2" t="s">
        <v>271</v>
      </c>
      <c r="AJ1" s="2" t="s">
        <v>4</v>
      </c>
    </row>
    <row r="2" spans="1:36" x14ac:dyDescent="0.55000000000000004">
      <c r="A2" s="1">
        <v>13</v>
      </c>
      <c r="B2" s="1">
        <v>0</v>
      </c>
      <c r="C2" s="1">
        <v>14.9</v>
      </c>
      <c r="D2" s="1">
        <v>11.1</v>
      </c>
      <c r="E2" s="1">
        <v>892</v>
      </c>
      <c r="F2" s="1" t="s">
        <v>88</v>
      </c>
      <c r="G2" s="9" t="s">
        <v>492</v>
      </c>
      <c r="H2" s="1">
        <v>3554</v>
      </c>
      <c r="I2" s="1">
        <v>1821.6</v>
      </c>
      <c r="J2" s="1">
        <v>1732.5</v>
      </c>
      <c r="K2" s="1">
        <v>159</v>
      </c>
      <c r="L2" s="1">
        <v>165</v>
      </c>
      <c r="M2" s="1">
        <v>0.1</v>
      </c>
      <c r="N2" s="1">
        <v>3</v>
      </c>
      <c r="O2" s="1">
        <v>1.0067109999999999</v>
      </c>
      <c r="P2" s="1">
        <v>3</v>
      </c>
      <c r="Q2" s="2">
        <v>80</v>
      </c>
      <c r="R2" s="1">
        <v>7</v>
      </c>
      <c r="S2" s="1">
        <v>0</v>
      </c>
      <c r="T2" s="1">
        <v>0.246</v>
      </c>
      <c r="U2" s="1">
        <v>5.8999999999999997E-2</v>
      </c>
      <c r="V2" s="1">
        <f t="shared" ref="V2:V11" si="0">T2-U2</f>
        <v>0.187</v>
      </c>
      <c r="W2" s="1">
        <f t="shared" ref="W2:W11" si="1">T2+U2</f>
        <v>0.30499999999999999</v>
      </c>
      <c r="X2" s="2">
        <v>23.9</v>
      </c>
      <c r="Y2" s="2">
        <v>1</v>
      </c>
      <c r="Z2" s="7">
        <v>36179</v>
      </c>
      <c r="AA2" s="2">
        <v>0.71971399999999996</v>
      </c>
      <c r="AB2" s="2">
        <v>0.47831000000000001</v>
      </c>
      <c r="AC2" s="2">
        <v>1.0773710000000001</v>
      </c>
      <c r="AD2" s="2">
        <v>1239</v>
      </c>
      <c r="AE2" s="2">
        <v>0</v>
      </c>
      <c r="AF2" s="2" t="s">
        <v>437</v>
      </c>
      <c r="AG2" s="2" t="s">
        <v>133</v>
      </c>
      <c r="AH2" s="4">
        <v>0.41</v>
      </c>
      <c r="AI2" s="4">
        <v>0.1</v>
      </c>
      <c r="AJ2" s="4">
        <v>0.1</v>
      </c>
    </row>
    <row r="3" spans="1:36" x14ac:dyDescent="0.55000000000000004">
      <c r="A3" s="1">
        <v>13</v>
      </c>
      <c r="B3" s="1">
        <v>1</v>
      </c>
      <c r="C3" s="1">
        <v>14.6</v>
      </c>
      <c r="D3" s="1">
        <v>11.4</v>
      </c>
      <c r="E3" s="1">
        <v>1023</v>
      </c>
      <c r="F3" s="1" t="s">
        <v>134</v>
      </c>
      <c r="G3" s="9" t="s">
        <v>548</v>
      </c>
      <c r="H3" s="1">
        <v>3918.3</v>
      </c>
      <c r="I3" s="1">
        <v>2008.3</v>
      </c>
      <c r="J3" s="1">
        <v>1910</v>
      </c>
      <c r="K3" s="1">
        <v>136</v>
      </c>
      <c r="L3" s="1">
        <v>140</v>
      </c>
      <c r="M3" s="1">
        <v>0.2</v>
      </c>
      <c r="N3" s="1">
        <v>7</v>
      </c>
      <c r="O3" s="1">
        <v>2.3489930000000001</v>
      </c>
      <c r="P3" s="1">
        <v>10</v>
      </c>
      <c r="Q3" s="2">
        <v>85</v>
      </c>
      <c r="R3" s="1">
        <v>7</v>
      </c>
      <c r="S3" s="1">
        <v>4</v>
      </c>
      <c r="T3" s="1">
        <v>0.24</v>
      </c>
      <c r="U3" s="1">
        <v>4.3999999999999997E-2</v>
      </c>
      <c r="V3" s="1">
        <f t="shared" si="0"/>
        <v>0.19600000000000001</v>
      </c>
      <c r="W3" s="1">
        <f t="shared" si="1"/>
        <v>0.28399999999999997</v>
      </c>
      <c r="X3" s="2">
        <v>24.6</v>
      </c>
      <c r="Y3" s="2">
        <v>3</v>
      </c>
      <c r="Z3" s="7">
        <v>36193</v>
      </c>
      <c r="AA3" s="2">
        <v>0.68076000000000003</v>
      </c>
      <c r="AB3" s="2">
        <v>0.44642300000000001</v>
      </c>
      <c r="AC3" s="2">
        <v>1.0307580000000001</v>
      </c>
      <c r="AD3" s="2">
        <v>1529</v>
      </c>
      <c r="AE3" s="2">
        <v>0</v>
      </c>
      <c r="AF3" s="2" t="s">
        <v>77</v>
      </c>
      <c r="AG3" s="2" t="s">
        <v>27</v>
      </c>
      <c r="AH3" s="4">
        <v>0.11</v>
      </c>
      <c r="AI3" s="4">
        <v>0</v>
      </c>
      <c r="AJ3" s="4">
        <v>0.1</v>
      </c>
    </row>
    <row r="4" spans="1:36" x14ac:dyDescent="0.55000000000000004">
      <c r="A4" s="1">
        <v>15.5</v>
      </c>
      <c r="B4" s="1">
        <v>2</v>
      </c>
      <c r="C4" s="1">
        <v>18.100000000000001</v>
      </c>
      <c r="D4" s="1">
        <v>12.9</v>
      </c>
      <c r="E4" s="1">
        <v>1569</v>
      </c>
      <c r="F4" s="1" t="s">
        <v>244</v>
      </c>
      <c r="G4" s="9" t="s">
        <v>549</v>
      </c>
      <c r="H4" s="1">
        <v>4151.8</v>
      </c>
      <c r="I4" s="1">
        <v>2125.9</v>
      </c>
      <c r="J4" s="1">
        <v>2026</v>
      </c>
      <c r="K4" s="1">
        <v>149</v>
      </c>
      <c r="L4" s="1">
        <v>154</v>
      </c>
      <c r="M4" s="1">
        <v>0.3</v>
      </c>
      <c r="N4" s="1">
        <v>19</v>
      </c>
      <c r="O4" s="1">
        <v>6.375839</v>
      </c>
      <c r="P4" s="1">
        <v>29</v>
      </c>
      <c r="Q4" s="2">
        <v>110</v>
      </c>
      <c r="R4" s="1">
        <v>8</v>
      </c>
      <c r="S4" s="1">
        <v>8</v>
      </c>
      <c r="T4" s="1">
        <v>0.19</v>
      </c>
      <c r="U4" s="1">
        <v>7.0000000000000007E-2</v>
      </c>
      <c r="V4" s="1">
        <f t="shared" si="0"/>
        <v>0.12</v>
      </c>
      <c r="W4" s="1">
        <f t="shared" si="1"/>
        <v>0.26</v>
      </c>
      <c r="X4" s="2">
        <v>24.3</v>
      </c>
      <c r="Y4" s="2">
        <v>5</v>
      </c>
      <c r="Z4" s="7">
        <v>36207</v>
      </c>
      <c r="AA4" s="2">
        <v>0.80286999999999997</v>
      </c>
      <c r="AB4" s="2">
        <v>0.59986399999999995</v>
      </c>
      <c r="AC4" s="2">
        <v>1.0729649999999999</v>
      </c>
      <c r="AD4" s="2">
        <v>1682</v>
      </c>
      <c r="AE4" s="2">
        <v>0</v>
      </c>
      <c r="AF4" s="2" t="s">
        <v>320</v>
      </c>
      <c r="AG4" s="2" t="s">
        <v>75</v>
      </c>
      <c r="AH4" s="4">
        <v>0.05</v>
      </c>
      <c r="AI4" s="4">
        <v>0</v>
      </c>
      <c r="AJ4" s="4">
        <v>0</v>
      </c>
    </row>
    <row r="5" spans="1:36" x14ac:dyDescent="0.55000000000000004">
      <c r="A5" s="1">
        <v>16.100000000000001</v>
      </c>
      <c r="B5" s="1">
        <v>3</v>
      </c>
      <c r="C5" s="1">
        <v>20.3</v>
      </c>
      <c r="D5" s="1">
        <v>11.9</v>
      </c>
      <c r="E5" s="1">
        <v>1956</v>
      </c>
      <c r="F5" s="1" t="s">
        <v>111</v>
      </c>
      <c r="G5" s="9" t="s">
        <v>165</v>
      </c>
      <c r="H5" s="1">
        <v>4041.8</v>
      </c>
      <c r="I5" s="1">
        <v>2073.4</v>
      </c>
      <c r="J5" s="1">
        <v>1968.4</v>
      </c>
      <c r="K5" s="1">
        <v>156</v>
      </c>
      <c r="L5" s="1">
        <v>139</v>
      </c>
      <c r="M5" s="1">
        <v>0.4</v>
      </c>
      <c r="N5" s="1">
        <v>27</v>
      </c>
      <c r="O5" s="1">
        <v>9.0604030000000009</v>
      </c>
      <c r="P5" s="1">
        <v>56</v>
      </c>
      <c r="Q5" s="2">
        <v>95</v>
      </c>
      <c r="R5" s="1">
        <v>8</v>
      </c>
      <c r="S5" s="1">
        <v>12</v>
      </c>
      <c r="T5" s="1">
        <v>0.17299999999999999</v>
      </c>
      <c r="U5" s="1">
        <v>4.7E-2</v>
      </c>
      <c r="V5" s="1">
        <f t="shared" si="0"/>
        <v>0.126</v>
      </c>
      <c r="W5" s="1">
        <f t="shared" si="1"/>
        <v>0.21999999999999997</v>
      </c>
      <c r="X5" s="2">
        <v>23.5</v>
      </c>
      <c r="Y5" s="2">
        <v>7</v>
      </c>
      <c r="Z5" s="7">
        <v>36221</v>
      </c>
      <c r="AA5" s="2">
        <v>0.80073899999999998</v>
      </c>
      <c r="AB5" s="2">
        <v>0.46972000000000003</v>
      </c>
      <c r="AC5" s="2">
        <v>1.358784</v>
      </c>
      <c r="AD5" s="2">
        <v>626</v>
      </c>
      <c r="AE5" s="2">
        <v>0</v>
      </c>
      <c r="AF5" s="2" t="s">
        <v>8</v>
      </c>
      <c r="AG5" s="2" t="s">
        <v>467</v>
      </c>
      <c r="AH5" s="4">
        <v>0.43</v>
      </c>
      <c r="AI5" s="4">
        <v>0.9</v>
      </c>
      <c r="AJ5" s="4">
        <v>0.8</v>
      </c>
    </row>
    <row r="6" spans="1:36" x14ac:dyDescent="0.55000000000000004">
      <c r="A6" s="1">
        <v>16.2</v>
      </c>
      <c r="B6" s="1">
        <v>4</v>
      </c>
      <c r="C6" s="1">
        <v>20.8</v>
      </c>
      <c r="D6" s="1">
        <v>11.6</v>
      </c>
      <c r="E6" s="1">
        <v>2536</v>
      </c>
      <c r="F6" s="1" t="s">
        <v>220</v>
      </c>
      <c r="G6" s="9" t="s">
        <v>508</v>
      </c>
      <c r="H6" s="1">
        <v>4159.7</v>
      </c>
      <c r="I6" s="1">
        <v>2111.5</v>
      </c>
      <c r="J6" s="1">
        <v>2048.1999999999998</v>
      </c>
      <c r="K6" s="1">
        <v>191</v>
      </c>
      <c r="L6" s="1">
        <v>134</v>
      </c>
      <c r="M6" s="1">
        <v>0.5</v>
      </c>
      <c r="N6" s="1">
        <v>32</v>
      </c>
      <c r="O6" s="1">
        <v>10.738255000000001</v>
      </c>
      <c r="P6" s="1">
        <v>88</v>
      </c>
      <c r="Q6" s="2">
        <v>95</v>
      </c>
      <c r="R6" s="1">
        <v>8</v>
      </c>
      <c r="S6" s="1">
        <v>16</v>
      </c>
      <c r="T6" s="1">
        <v>0.189</v>
      </c>
      <c r="U6" s="1">
        <v>4.8000000000000001E-2</v>
      </c>
      <c r="V6" s="1">
        <f t="shared" si="0"/>
        <v>0.14100000000000001</v>
      </c>
      <c r="W6" s="1">
        <f t="shared" si="1"/>
        <v>0.23699999999999999</v>
      </c>
      <c r="X6" s="2">
        <v>23.5</v>
      </c>
      <c r="Y6" s="2">
        <v>9</v>
      </c>
      <c r="Z6" s="7">
        <v>36235</v>
      </c>
      <c r="AA6" s="2">
        <v>0.79814300000000005</v>
      </c>
      <c r="AB6" s="2">
        <v>0.545041</v>
      </c>
      <c r="AC6" s="2">
        <v>1.177753</v>
      </c>
      <c r="AD6" s="2">
        <v>1216</v>
      </c>
      <c r="AE6" s="2">
        <v>0</v>
      </c>
      <c r="AF6" s="2" t="s">
        <v>299</v>
      </c>
    </row>
    <row r="7" spans="1:36" x14ac:dyDescent="0.55000000000000004">
      <c r="A7" s="1">
        <v>16.7</v>
      </c>
      <c r="B7" s="1">
        <v>5</v>
      </c>
      <c r="C7" s="1">
        <v>20.3</v>
      </c>
      <c r="D7" s="1">
        <v>13.1</v>
      </c>
      <c r="E7" s="1">
        <v>2985</v>
      </c>
      <c r="F7" s="1" t="s">
        <v>339</v>
      </c>
      <c r="G7" s="9" t="s">
        <v>402</v>
      </c>
      <c r="H7" s="1">
        <v>4545.8999999999996</v>
      </c>
      <c r="I7" s="1">
        <v>2250.8000000000002</v>
      </c>
      <c r="J7" s="1">
        <v>2295.1</v>
      </c>
      <c r="K7" s="1">
        <v>169</v>
      </c>
      <c r="L7" s="1">
        <v>154</v>
      </c>
      <c r="M7" s="1">
        <v>0.6</v>
      </c>
      <c r="N7" s="1">
        <v>35</v>
      </c>
      <c r="O7" s="1">
        <v>11.744966</v>
      </c>
      <c r="P7" s="1">
        <v>123</v>
      </c>
      <c r="Q7" s="2">
        <v>100</v>
      </c>
      <c r="R7" s="1">
        <v>9</v>
      </c>
      <c r="S7" s="1">
        <v>24</v>
      </c>
      <c r="T7" s="1">
        <v>0.19600000000000001</v>
      </c>
      <c r="U7" s="1">
        <v>0.04</v>
      </c>
      <c r="V7" s="1">
        <f t="shared" si="0"/>
        <v>0.156</v>
      </c>
      <c r="W7" s="1">
        <f t="shared" si="1"/>
        <v>0.23600000000000002</v>
      </c>
      <c r="X7" s="2">
        <v>23.4</v>
      </c>
      <c r="Y7" s="2">
        <v>11</v>
      </c>
      <c r="Z7" s="7">
        <v>36249</v>
      </c>
      <c r="AA7" s="2">
        <v>1.132736</v>
      </c>
      <c r="AB7" s="2">
        <v>0.93038500000000002</v>
      </c>
      <c r="AC7" s="2">
        <v>1.37967</v>
      </c>
      <c r="AD7" s="2">
        <v>4524</v>
      </c>
      <c r="AE7" s="2">
        <v>0</v>
      </c>
      <c r="AF7" s="2" t="s">
        <v>135</v>
      </c>
    </row>
    <row r="8" spans="1:36" x14ac:dyDescent="0.55000000000000004">
      <c r="A8" s="1">
        <v>16.8</v>
      </c>
      <c r="B8" s="1">
        <v>6</v>
      </c>
      <c r="C8" s="1">
        <v>20.7</v>
      </c>
      <c r="D8" s="1">
        <v>12.9</v>
      </c>
      <c r="E8" s="1">
        <v>2013</v>
      </c>
      <c r="F8" s="1" t="s">
        <v>292</v>
      </c>
      <c r="G8" s="9" t="s">
        <v>198</v>
      </c>
      <c r="H8" s="1">
        <v>4809.2</v>
      </c>
      <c r="I8" s="1">
        <v>2337.6</v>
      </c>
      <c r="J8" s="1">
        <v>2471.6</v>
      </c>
      <c r="K8" s="1">
        <v>194</v>
      </c>
      <c r="L8" s="1">
        <v>120</v>
      </c>
      <c r="M8" s="1">
        <v>0.7</v>
      </c>
      <c r="N8" s="1">
        <v>38</v>
      </c>
      <c r="O8" s="1">
        <v>12.751678</v>
      </c>
      <c r="P8" s="1">
        <v>161</v>
      </c>
      <c r="Q8" s="2">
        <v>45</v>
      </c>
      <c r="R8" s="1">
        <v>11</v>
      </c>
      <c r="S8" s="1">
        <v>32</v>
      </c>
      <c r="T8" s="1">
        <v>0.216</v>
      </c>
      <c r="U8" s="1">
        <v>5.2999999999999999E-2</v>
      </c>
      <c r="V8" s="1">
        <f t="shared" si="0"/>
        <v>0.16300000000000001</v>
      </c>
      <c r="W8" s="1">
        <f t="shared" si="1"/>
        <v>0.26900000000000002</v>
      </c>
      <c r="X8" s="2">
        <v>23.6</v>
      </c>
      <c r="Y8" s="2">
        <v>13</v>
      </c>
      <c r="Z8" s="7">
        <v>36263</v>
      </c>
      <c r="AA8" s="2">
        <v>0.89496900000000001</v>
      </c>
      <c r="AB8" s="2">
        <v>0.82878300000000005</v>
      </c>
      <c r="AC8" s="2">
        <v>0.96641100000000002</v>
      </c>
      <c r="AD8" s="2">
        <v>17187</v>
      </c>
      <c r="AE8" s="2">
        <v>0</v>
      </c>
      <c r="AF8" s="2" t="s">
        <v>367</v>
      </c>
    </row>
    <row r="9" spans="1:36" x14ac:dyDescent="0.55000000000000004">
      <c r="A9" s="1">
        <v>17</v>
      </c>
      <c r="B9" s="1">
        <v>7</v>
      </c>
      <c r="C9" s="1">
        <v>19.899999999999999</v>
      </c>
      <c r="D9" s="1">
        <v>14.1</v>
      </c>
      <c r="E9" s="1">
        <v>1822</v>
      </c>
      <c r="F9" s="1" t="s">
        <v>144</v>
      </c>
      <c r="G9" s="9" t="s">
        <v>85</v>
      </c>
      <c r="H9" s="1">
        <v>4803.3</v>
      </c>
      <c r="I9" s="1">
        <v>2319</v>
      </c>
      <c r="J9" s="1">
        <v>2484.3000000000002</v>
      </c>
      <c r="K9" s="1">
        <v>182</v>
      </c>
      <c r="L9" s="1">
        <v>133</v>
      </c>
      <c r="M9" s="1">
        <v>0.8</v>
      </c>
      <c r="N9" s="1">
        <v>38</v>
      </c>
      <c r="O9" s="1">
        <v>12.751678</v>
      </c>
      <c r="P9" s="1">
        <v>199</v>
      </c>
      <c r="Q9" s="2">
        <v>95</v>
      </c>
      <c r="R9" s="1">
        <v>12</v>
      </c>
      <c r="S9" s="1">
        <v>36</v>
      </c>
      <c r="T9" s="1">
        <v>0.23200000000000001</v>
      </c>
      <c r="U9" s="1">
        <v>5.6000000000000001E-2</v>
      </c>
      <c r="V9" s="1">
        <f t="shared" si="0"/>
        <v>0.17600000000000002</v>
      </c>
      <c r="W9" s="1">
        <f t="shared" si="1"/>
        <v>0.28800000000000003</v>
      </c>
      <c r="X9" s="2">
        <v>23.6</v>
      </c>
      <c r="Y9" s="2">
        <v>15</v>
      </c>
      <c r="Z9" s="7">
        <v>36277</v>
      </c>
      <c r="AA9" s="2">
        <v>0.89682399999999995</v>
      </c>
      <c r="AB9" s="2">
        <v>0.83999199999999996</v>
      </c>
      <c r="AC9" s="2">
        <v>0.95747499999999997</v>
      </c>
      <c r="AD9" s="2">
        <f>SUM(AD2:AD8)</f>
        <v>28003</v>
      </c>
      <c r="AE9" s="2">
        <v>-1</v>
      </c>
      <c r="AF9" s="2" t="s">
        <v>158</v>
      </c>
    </row>
    <row r="10" spans="1:36" x14ac:dyDescent="0.55000000000000004">
      <c r="A10" s="1">
        <v>17.2</v>
      </c>
      <c r="B10" s="1">
        <v>8</v>
      </c>
      <c r="C10" s="1">
        <v>19.5</v>
      </c>
      <c r="D10" s="1">
        <v>14.9</v>
      </c>
      <c r="E10" s="1">
        <v>1956</v>
      </c>
      <c r="F10" s="1" t="s">
        <v>215</v>
      </c>
      <c r="G10" s="9" t="s">
        <v>108</v>
      </c>
      <c r="H10" s="1">
        <v>4558</v>
      </c>
      <c r="I10" s="1">
        <v>2213.9</v>
      </c>
      <c r="J10" s="1">
        <v>2344.1999999999998</v>
      </c>
      <c r="K10" s="1">
        <v>163</v>
      </c>
      <c r="L10" s="1">
        <v>150</v>
      </c>
      <c r="M10" s="1">
        <v>0.9</v>
      </c>
      <c r="N10" s="1">
        <v>22</v>
      </c>
      <c r="O10" s="1">
        <v>7.3825500000000002</v>
      </c>
      <c r="P10" s="1">
        <v>221</v>
      </c>
      <c r="Q10" s="2">
        <v>130</v>
      </c>
      <c r="R10" s="1">
        <v>12</v>
      </c>
      <c r="S10" s="1">
        <v>38</v>
      </c>
      <c r="T10" s="1">
        <v>0.26900000000000002</v>
      </c>
      <c r="U10" s="1">
        <v>5.6000000000000001E-2</v>
      </c>
      <c r="V10" s="1">
        <f t="shared" si="0"/>
        <v>0.21300000000000002</v>
      </c>
      <c r="W10" s="1">
        <f t="shared" si="1"/>
        <v>0.32500000000000001</v>
      </c>
      <c r="X10" s="2">
        <v>22.9</v>
      </c>
      <c r="Y10" s="2">
        <v>17</v>
      </c>
      <c r="Z10" s="7">
        <v>36291</v>
      </c>
    </row>
    <row r="11" spans="1:36" x14ac:dyDescent="0.55000000000000004">
      <c r="A11" s="1">
        <v>17.8</v>
      </c>
      <c r="B11" s="1">
        <v>9</v>
      </c>
      <c r="C11" s="1">
        <v>20.3</v>
      </c>
      <c r="D11" s="1">
        <v>15.3</v>
      </c>
      <c r="E11" s="1">
        <v>2344</v>
      </c>
      <c r="F11" s="1" t="s">
        <v>318</v>
      </c>
      <c r="G11" s="9" t="s">
        <v>14</v>
      </c>
      <c r="H11" s="1">
        <v>4118.1000000000004</v>
      </c>
      <c r="I11" s="1">
        <v>2021.6</v>
      </c>
      <c r="J11" s="1">
        <v>2096.5</v>
      </c>
      <c r="K11" s="1">
        <v>152</v>
      </c>
      <c r="L11" s="1">
        <v>146</v>
      </c>
      <c r="M11" s="1">
        <v>1</v>
      </c>
      <c r="N11" s="1">
        <v>16</v>
      </c>
      <c r="O11" s="1">
        <v>5.3691279999999999</v>
      </c>
      <c r="P11" s="1">
        <v>237</v>
      </c>
      <c r="Q11" s="2">
        <v>75</v>
      </c>
      <c r="R11" s="1">
        <v>13</v>
      </c>
      <c r="S11" s="1">
        <v>50</v>
      </c>
      <c r="T11" s="1">
        <v>0.27500000000000002</v>
      </c>
      <c r="U11" s="1">
        <v>5.7000000000000002E-2</v>
      </c>
      <c r="V11" s="1">
        <f t="shared" si="0"/>
        <v>0.21800000000000003</v>
      </c>
      <c r="W11" s="1">
        <f t="shared" si="1"/>
        <v>0.33200000000000002</v>
      </c>
      <c r="X11" s="2">
        <v>22.9</v>
      </c>
      <c r="Y11" s="2">
        <v>19</v>
      </c>
      <c r="Z11" s="7">
        <v>36305</v>
      </c>
    </row>
    <row r="12" spans="1:36" x14ac:dyDescent="0.55000000000000004">
      <c r="A12" s="1">
        <v>19.3</v>
      </c>
      <c r="B12" s="1">
        <v>10</v>
      </c>
      <c r="C12" s="1">
        <v>22.5</v>
      </c>
      <c r="D12" s="1">
        <v>16.100000000000001</v>
      </c>
      <c r="E12" s="1">
        <v>2356</v>
      </c>
      <c r="F12" s="1" t="s">
        <v>31</v>
      </c>
      <c r="G12" s="9" t="s">
        <v>361</v>
      </c>
      <c r="H12" s="1">
        <v>4442.2</v>
      </c>
      <c r="I12" s="1">
        <v>2180.5</v>
      </c>
      <c r="J12" s="1">
        <v>2261.6999999999998</v>
      </c>
      <c r="K12" s="1">
        <v>145</v>
      </c>
      <c r="L12" s="1">
        <v>140</v>
      </c>
      <c r="M12" s="1">
        <v>1.1000000000000001</v>
      </c>
      <c r="N12" s="1">
        <v>16</v>
      </c>
      <c r="O12" s="1">
        <v>5.3691279999999999</v>
      </c>
      <c r="P12" s="1">
        <v>253</v>
      </c>
      <c r="Q12" s="2">
        <v>80</v>
      </c>
      <c r="R12" s="1">
        <v>13</v>
      </c>
      <c r="X12" s="2">
        <v>23.6</v>
      </c>
      <c r="Y12" s="2">
        <v>21</v>
      </c>
      <c r="Z12" s="7">
        <v>36319</v>
      </c>
    </row>
    <row r="13" spans="1:36" x14ac:dyDescent="0.55000000000000004">
      <c r="A13" s="1">
        <v>19.5</v>
      </c>
      <c r="B13" s="1">
        <v>11</v>
      </c>
      <c r="C13" s="1">
        <v>24.1</v>
      </c>
      <c r="D13" s="1">
        <v>14.9</v>
      </c>
      <c r="E13" s="1"/>
      <c r="F13" s="1"/>
      <c r="G13" s="9" t="s">
        <v>228</v>
      </c>
      <c r="H13" s="1">
        <v>4639.6000000000004</v>
      </c>
      <c r="I13" s="1">
        <v>2271.3000000000002</v>
      </c>
      <c r="J13" s="1">
        <v>2368.3000000000002</v>
      </c>
      <c r="K13" s="1">
        <v>176</v>
      </c>
      <c r="L13" s="1">
        <v>114</v>
      </c>
      <c r="M13" s="1">
        <v>1.2</v>
      </c>
      <c r="N13" s="1">
        <v>6</v>
      </c>
      <c r="O13" s="1">
        <v>2.013423</v>
      </c>
      <c r="P13" s="1">
        <v>259</v>
      </c>
      <c r="Q13" s="2">
        <v>70</v>
      </c>
      <c r="R13" s="1">
        <v>14</v>
      </c>
      <c r="X13" s="2">
        <v>24.3</v>
      </c>
      <c r="Y13" s="2">
        <v>23</v>
      </c>
      <c r="Z13" s="7">
        <v>36326</v>
      </c>
    </row>
    <row r="14" spans="1:36" x14ac:dyDescent="0.55000000000000004">
      <c r="A14" s="1">
        <v>20</v>
      </c>
      <c r="B14" s="1">
        <v>12</v>
      </c>
      <c r="C14" s="1">
        <v>24.5</v>
      </c>
      <c r="D14" s="1">
        <v>15.5</v>
      </c>
      <c r="E14" s="1"/>
      <c r="F14" s="1"/>
      <c r="G14" s="9" t="s">
        <v>44</v>
      </c>
      <c r="H14" s="1">
        <v>4311.3</v>
      </c>
      <c r="I14" s="1">
        <v>2107.4</v>
      </c>
      <c r="J14" s="1">
        <v>2203.8000000000002</v>
      </c>
      <c r="K14" s="1">
        <v>122</v>
      </c>
      <c r="L14" s="1">
        <v>128</v>
      </c>
      <c r="M14" s="1">
        <v>1.3</v>
      </c>
      <c r="N14" s="1">
        <v>7</v>
      </c>
      <c r="O14" s="1">
        <v>2.3489930000000001</v>
      </c>
      <c r="P14" s="1">
        <v>266</v>
      </c>
      <c r="Q14" s="2">
        <v>80</v>
      </c>
      <c r="R14" s="1">
        <v>14</v>
      </c>
      <c r="X14" s="2">
        <v>23.4</v>
      </c>
      <c r="Y14" s="2">
        <v>25</v>
      </c>
      <c r="Z14" s="7">
        <v>36354</v>
      </c>
    </row>
    <row r="15" spans="1:36" x14ac:dyDescent="0.55000000000000004">
      <c r="A15" s="1">
        <v>20.7</v>
      </c>
      <c r="B15" s="1">
        <v>15</v>
      </c>
      <c r="C15" s="1">
        <v>24.5</v>
      </c>
      <c r="D15" s="1">
        <v>16.899999999999999</v>
      </c>
      <c r="E15" s="1"/>
      <c r="F15" s="1"/>
      <c r="G15" s="9" t="s">
        <v>465</v>
      </c>
      <c r="H15" s="1">
        <v>3589.3</v>
      </c>
      <c r="I15" s="1">
        <v>1743</v>
      </c>
      <c r="J15" s="1">
        <v>1846.3</v>
      </c>
      <c r="K15" s="1">
        <v>141</v>
      </c>
      <c r="L15" s="1">
        <v>131</v>
      </c>
      <c r="M15" s="1">
        <v>1.4</v>
      </c>
      <c r="N15" s="1">
        <v>9</v>
      </c>
      <c r="O15" s="1">
        <v>3.0201340000000001</v>
      </c>
      <c r="P15" s="1">
        <v>275</v>
      </c>
      <c r="Q15" s="2">
        <v>100</v>
      </c>
      <c r="R15" s="1">
        <v>15</v>
      </c>
      <c r="X15" s="2">
        <v>23.5</v>
      </c>
      <c r="Y15" s="2">
        <v>27</v>
      </c>
      <c r="Z15" s="7">
        <v>36368</v>
      </c>
    </row>
    <row r="16" spans="1:36" x14ac:dyDescent="0.55000000000000004">
      <c r="G16" s="9" t="s">
        <v>493</v>
      </c>
      <c r="H16" s="1">
        <v>3108</v>
      </c>
      <c r="I16" s="1">
        <v>1479.7</v>
      </c>
      <c r="J16" s="1">
        <v>1628.3</v>
      </c>
      <c r="K16" s="1">
        <v>172</v>
      </c>
      <c r="L16" s="1">
        <v>116</v>
      </c>
      <c r="M16" s="1">
        <v>1.5</v>
      </c>
      <c r="N16" s="1">
        <v>6</v>
      </c>
      <c r="O16" s="1">
        <v>2.013423</v>
      </c>
      <c r="P16" s="1">
        <v>281</v>
      </c>
      <c r="Q16" s="2">
        <v>120</v>
      </c>
      <c r="R16" s="1">
        <v>16</v>
      </c>
      <c r="X16" s="2">
        <v>22.9</v>
      </c>
      <c r="Y16" s="2">
        <v>29</v>
      </c>
      <c r="Z16" s="7">
        <v>36382</v>
      </c>
    </row>
    <row r="17" spans="7:26" x14ac:dyDescent="0.55000000000000004">
      <c r="G17" s="9" t="s">
        <v>383</v>
      </c>
      <c r="H17" s="1">
        <v>2909</v>
      </c>
      <c r="I17" s="1">
        <v>1354.3</v>
      </c>
      <c r="J17" s="1">
        <v>1554.6</v>
      </c>
      <c r="K17" s="1">
        <v>162</v>
      </c>
      <c r="L17" s="1">
        <v>128</v>
      </c>
      <c r="M17" s="1">
        <v>1.6</v>
      </c>
      <c r="N17" s="1">
        <v>2</v>
      </c>
      <c r="O17" s="1">
        <v>0.67114099999999999</v>
      </c>
      <c r="P17" s="1">
        <v>283</v>
      </c>
      <c r="Q17" s="2">
        <v>110</v>
      </c>
      <c r="R17" s="1">
        <v>17</v>
      </c>
      <c r="X17" s="2">
        <v>21.5</v>
      </c>
      <c r="Y17" s="2">
        <v>31</v>
      </c>
      <c r="Z17" s="7">
        <v>36389</v>
      </c>
    </row>
    <row r="18" spans="7:26" x14ac:dyDescent="0.55000000000000004">
      <c r="G18" s="9" t="s">
        <v>169</v>
      </c>
      <c r="H18" s="1">
        <v>1844</v>
      </c>
      <c r="I18" s="1">
        <v>817.6</v>
      </c>
      <c r="J18" s="1">
        <v>1026.4000000000001</v>
      </c>
      <c r="K18" s="1">
        <v>165</v>
      </c>
      <c r="L18" s="1">
        <v>122</v>
      </c>
      <c r="M18" s="1">
        <v>1.7</v>
      </c>
      <c r="N18" s="1">
        <v>3</v>
      </c>
      <c r="O18" s="1">
        <v>1.0067109999999999</v>
      </c>
      <c r="P18" s="1">
        <v>286</v>
      </c>
      <c r="Q18" s="2">
        <v>125</v>
      </c>
      <c r="R18" s="1">
        <v>17</v>
      </c>
      <c r="X18" s="2">
        <v>23.7</v>
      </c>
      <c r="Y18" s="2">
        <v>33</v>
      </c>
      <c r="Z18" s="7">
        <v>36417</v>
      </c>
    </row>
    <row r="19" spans="7:26" x14ac:dyDescent="0.55000000000000004">
      <c r="G19" s="10" t="s">
        <v>65</v>
      </c>
      <c r="H19" s="2">
        <v>1126.8</v>
      </c>
      <c r="I19" s="2">
        <v>460.4</v>
      </c>
      <c r="J19" s="2">
        <v>666.4</v>
      </c>
      <c r="K19" s="1">
        <v>184</v>
      </c>
      <c r="L19" s="1">
        <v>129</v>
      </c>
      <c r="M19" s="1">
        <v>1.8</v>
      </c>
      <c r="N19" s="1">
        <v>3</v>
      </c>
      <c r="O19" s="1">
        <v>1.0067109999999999</v>
      </c>
      <c r="P19" s="1">
        <v>289</v>
      </c>
      <c r="Q19" s="2">
        <v>75</v>
      </c>
      <c r="R19" s="1">
        <v>17</v>
      </c>
      <c r="X19" s="2">
        <v>23.8</v>
      </c>
      <c r="Y19" s="2">
        <v>35</v>
      </c>
      <c r="Z19" s="7">
        <v>36424</v>
      </c>
    </row>
    <row r="20" spans="7:26" x14ac:dyDescent="0.55000000000000004">
      <c r="G20" s="10" t="s">
        <v>324</v>
      </c>
      <c r="H20" s="2">
        <v>625.9</v>
      </c>
      <c r="I20" s="2">
        <v>210.7</v>
      </c>
      <c r="J20" s="2">
        <v>415.2</v>
      </c>
      <c r="K20" s="1">
        <v>239</v>
      </c>
      <c r="L20" s="1">
        <v>145</v>
      </c>
      <c r="M20" s="1">
        <v>2</v>
      </c>
      <c r="N20" s="1">
        <v>3</v>
      </c>
      <c r="O20" s="1">
        <v>1.0067109999999999</v>
      </c>
      <c r="P20" s="1">
        <v>292</v>
      </c>
      <c r="Q20" s="2">
        <v>100</v>
      </c>
      <c r="R20" s="1">
        <v>17</v>
      </c>
      <c r="X20" s="2">
        <v>23</v>
      </c>
      <c r="Y20" s="2">
        <v>37</v>
      </c>
      <c r="Z20" s="7">
        <v>36438</v>
      </c>
    </row>
    <row r="21" spans="7:26" x14ac:dyDescent="0.55000000000000004">
      <c r="K21" s="1">
        <v>178</v>
      </c>
      <c r="L21" s="1">
        <v>117</v>
      </c>
      <c r="M21" s="1">
        <v>2.1</v>
      </c>
      <c r="N21" s="1">
        <v>2</v>
      </c>
      <c r="O21" s="1">
        <v>0.67114099999999999</v>
      </c>
      <c r="P21" s="1">
        <v>294</v>
      </c>
      <c r="Q21" s="2">
        <v>40</v>
      </c>
      <c r="R21" s="1">
        <v>19</v>
      </c>
    </row>
    <row r="22" spans="7:26" x14ac:dyDescent="0.55000000000000004">
      <c r="K22" s="1">
        <v>178</v>
      </c>
      <c r="L22" s="1">
        <v>140</v>
      </c>
      <c r="M22" s="1">
        <v>2.2000000000000002</v>
      </c>
      <c r="N22" s="1">
        <v>1</v>
      </c>
      <c r="O22" s="1">
        <v>0.33556999999999998</v>
      </c>
      <c r="P22" s="1">
        <v>295</v>
      </c>
      <c r="Q22" s="2">
        <v>75</v>
      </c>
      <c r="R22" s="1">
        <v>19</v>
      </c>
    </row>
    <row r="23" spans="7:26" x14ac:dyDescent="0.55000000000000004">
      <c r="K23" s="1">
        <v>164</v>
      </c>
      <c r="L23" s="1">
        <v>149</v>
      </c>
      <c r="M23" s="1">
        <v>2.5</v>
      </c>
      <c r="N23" s="1">
        <v>1</v>
      </c>
      <c r="O23" s="1">
        <v>0.33556999999999998</v>
      </c>
      <c r="P23" s="1">
        <v>296</v>
      </c>
      <c r="Q23" s="2">
        <v>110</v>
      </c>
      <c r="R23" s="1">
        <v>20</v>
      </c>
    </row>
    <row r="24" spans="7:26" x14ac:dyDescent="0.55000000000000004">
      <c r="K24" s="1">
        <v>185</v>
      </c>
      <c r="L24" s="1">
        <v>116</v>
      </c>
      <c r="M24" s="1">
        <v>2.7</v>
      </c>
      <c r="N24" s="1">
        <v>1</v>
      </c>
      <c r="O24" s="1">
        <v>0.33556999999999998</v>
      </c>
      <c r="P24" s="1">
        <v>297</v>
      </c>
      <c r="Q24" s="2">
        <v>150</v>
      </c>
      <c r="R24" s="1">
        <v>23</v>
      </c>
    </row>
    <row r="25" spans="7:26" x14ac:dyDescent="0.55000000000000004">
      <c r="K25" s="1">
        <v>154</v>
      </c>
      <c r="L25" s="1">
        <v>147</v>
      </c>
      <c r="M25" s="1">
        <v>4.5</v>
      </c>
      <c r="N25" s="1">
        <v>1</v>
      </c>
      <c r="O25" s="1">
        <v>0.33556999999999998</v>
      </c>
      <c r="P25" s="1">
        <v>298</v>
      </c>
      <c r="Q25" s="2">
        <v>75</v>
      </c>
      <c r="R25" s="1">
        <v>23</v>
      </c>
    </row>
    <row r="26" spans="7:26" x14ac:dyDescent="0.55000000000000004">
      <c r="K26" s="1">
        <v>164</v>
      </c>
      <c r="L26" s="1">
        <v>125</v>
      </c>
      <c r="Q26" s="2">
        <v>95</v>
      </c>
      <c r="R26" s="1">
        <v>23</v>
      </c>
    </row>
    <row r="27" spans="7:26" x14ac:dyDescent="0.55000000000000004">
      <c r="K27" s="1">
        <v>140</v>
      </c>
      <c r="L27" s="1">
        <v>149</v>
      </c>
    </row>
    <row r="28" spans="7:26" x14ac:dyDescent="0.55000000000000004">
      <c r="K28" s="1">
        <v>207</v>
      </c>
      <c r="L28" s="1">
        <v>129</v>
      </c>
    </row>
    <row r="29" spans="7:26" x14ac:dyDescent="0.55000000000000004">
      <c r="K29" s="1">
        <v>214</v>
      </c>
      <c r="L29" s="1">
        <v>157</v>
      </c>
    </row>
    <row r="30" spans="7:26" x14ac:dyDescent="0.55000000000000004">
      <c r="K30" s="1">
        <v>165</v>
      </c>
      <c r="L30" s="1">
        <v>144</v>
      </c>
    </row>
    <row r="31" spans="7:26" x14ac:dyDescent="0.55000000000000004">
      <c r="K31" s="1">
        <v>183</v>
      </c>
      <c r="L31" s="1">
        <v>123</v>
      </c>
    </row>
    <row r="32" spans="7:26" x14ac:dyDescent="0.55000000000000004">
      <c r="K32" s="1">
        <v>218</v>
      </c>
      <c r="L32" s="1">
        <v>107</v>
      </c>
    </row>
    <row r="33" spans="11:12" x14ac:dyDescent="0.55000000000000004">
      <c r="K33" s="1">
        <v>142</v>
      </c>
      <c r="L33" s="1">
        <v>129</v>
      </c>
    </row>
    <row r="34" spans="11:12" x14ac:dyDescent="0.55000000000000004">
      <c r="K34" s="1">
        <v>161</v>
      </c>
      <c r="L34" s="1">
        <v>152</v>
      </c>
    </row>
    <row r="35" spans="11:12" x14ac:dyDescent="0.55000000000000004">
      <c r="K35" s="1">
        <v>168</v>
      </c>
      <c r="L35" s="1">
        <v>164</v>
      </c>
    </row>
    <row r="36" spans="11:12" x14ac:dyDescent="0.55000000000000004">
      <c r="K36" s="1">
        <v>181</v>
      </c>
      <c r="L36" s="1">
        <v>134</v>
      </c>
    </row>
    <row r="37" spans="11:12" x14ac:dyDescent="0.55000000000000004">
      <c r="K37" s="1">
        <v>162</v>
      </c>
      <c r="L37" s="1">
        <v>120</v>
      </c>
    </row>
    <row r="38" spans="11:12" x14ac:dyDescent="0.55000000000000004">
      <c r="K38" s="1">
        <v>166</v>
      </c>
      <c r="L38" s="1">
        <v>148</v>
      </c>
    </row>
    <row r="39" spans="11:12" x14ac:dyDescent="0.55000000000000004">
      <c r="K39" s="1">
        <v>150</v>
      </c>
      <c r="L39" s="1">
        <v>151</v>
      </c>
    </row>
    <row r="40" spans="11:12" x14ac:dyDescent="0.55000000000000004">
      <c r="K40" s="1">
        <v>205</v>
      </c>
      <c r="L40" s="1">
        <v>149</v>
      </c>
    </row>
    <row r="41" spans="11:12" x14ac:dyDescent="0.55000000000000004">
      <c r="K41" s="1">
        <v>163</v>
      </c>
      <c r="L41" s="1">
        <v>138</v>
      </c>
    </row>
    <row r="42" spans="11:12" x14ac:dyDescent="0.55000000000000004">
      <c r="K42" s="1">
        <v>166</v>
      </c>
      <c r="L42" s="1">
        <v>159</v>
      </c>
    </row>
    <row r="43" spans="11:12" x14ac:dyDescent="0.55000000000000004">
      <c r="K43" s="1">
        <v>176</v>
      </c>
      <c r="L43" s="1">
        <v>169</v>
      </c>
    </row>
    <row r="44" spans="11:12" x14ac:dyDescent="0.55000000000000004">
      <c r="L44" s="1">
        <v>137</v>
      </c>
    </row>
    <row r="45" spans="11:12" x14ac:dyDescent="0.55000000000000004">
      <c r="L45" s="1">
        <v>151</v>
      </c>
    </row>
    <row r="46" spans="11:12" x14ac:dyDescent="0.55000000000000004">
      <c r="L46" s="1">
        <v>141</v>
      </c>
    </row>
    <row r="47" spans="11:12" x14ac:dyDescent="0.55000000000000004">
      <c r="L47" s="1">
        <v>145</v>
      </c>
    </row>
    <row r="48" spans="11:12" x14ac:dyDescent="0.55000000000000004">
      <c r="L48" s="1">
        <v>135</v>
      </c>
    </row>
    <row r="49" spans="12:12" x14ac:dyDescent="0.55000000000000004">
      <c r="L49" s="1">
        <v>135</v>
      </c>
    </row>
    <row r="50" spans="12:12" x14ac:dyDescent="0.55000000000000004">
      <c r="L50" s="1">
        <v>153</v>
      </c>
    </row>
    <row r="51" spans="12:12" x14ac:dyDescent="0.55000000000000004">
      <c r="L51" s="1">
        <v>125</v>
      </c>
    </row>
    <row r="52" spans="12:12" x14ac:dyDescent="0.55000000000000004">
      <c r="L52" s="1">
        <v>159</v>
      </c>
    </row>
    <row r="53" spans="12:12" x14ac:dyDescent="0.55000000000000004">
      <c r="L53" s="1">
        <v>148</v>
      </c>
    </row>
    <row r="54" spans="12:12" x14ac:dyDescent="0.55000000000000004">
      <c r="L54" s="1">
        <v>142</v>
      </c>
    </row>
    <row r="55" spans="12:12" x14ac:dyDescent="0.55000000000000004">
      <c r="L55" s="1">
        <v>130</v>
      </c>
    </row>
    <row r="56" spans="12:12" x14ac:dyDescent="0.55000000000000004">
      <c r="L56" s="1">
        <v>111</v>
      </c>
    </row>
    <row r="57" spans="12:12" x14ac:dyDescent="0.55000000000000004">
      <c r="L57" s="1">
        <v>140</v>
      </c>
    </row>
    <row r="58" spans="12:12" x14ac:dyDescent="0.55000000000000004">
      <c r="L58" s="1">
        <v>136</v>
      </c>
    </row>
    <row r="59" spans="12:12" x14ac:dyDescent="0.55000000000000004">
      <c r="L59" s="1">
        <v>142</v>
      </c>
    </row>
    <row r="60" spans="12:12" x14ac:dyDescent="0.55000000000000004">
      <c r="L60" s="1">
        <v>139</v>
      </c>
    </row>
    <row r="61" spans="12:12" x14ac:dyDescent="0.55000000000000004">
      <c r="L61" s="1">
        <v>137</v>
      </c>
    </row>
    <row r="62" spans="12:12" x14ac:dyDescent="0.55000000000000004">
      <c r="L62" s="1">
        <v>187</v>
      </c>
    </row>
    <row r="63" spans="12:12" x14ac:dyDescent="0.55000000000000004">
      <c r="L63" s="1">
        <v>154</v>
      </c>
    </row>
    <row r="64" spans="12:12" x14ac:dyDescent="0.55000000000000004">
      <c r="L64" s="1">
        <v>151</v>
      </c>
    </row>
    <row r="65" spans="12:12" x14ac:dyDescent="0.55000000000000004">
      <c r="L65" s="1">
        <v>149</v>
      </c>
    </row>
    <row r="66" spans="12:12" x14ac:dyDescent="0.55000000000000004">
      <c r="L66" s="1">
        <v>148</v>
      </c>
    </row>
    <row r="67" spans="12:12" x14ac:dyDescent="0.55000000000000004">
      <c r="L67" s="1">
        <v>157</v>
      </c>
    </row>
    <row r="68" spans="12:12" x14ac:dyDescent="0.55000000000000004">
      <c r="L68" s="1">
        <v>159</v>
      </c>
    </row>
    <row r="69" spans="12:12" x14ac:dyDescent="0.55000000000000004">
      <c r="L69" s="1">
        <v>143</v>
      </c>
    </row>
    <row r="70" spans="12:12" x14ac:dyDescent="0.55000000000000004">
      <c r="L70" s="1">
        <v>124</v>
      </c>
    </row>
    <row r="71" spans="12:12" x14ac:dyDescent="0.55000000000000004">
      <c r="L71" s="1">
        <v>141</v>
      </c>
    </row>
    <row r="72" spans="12:12" x14ac:dyDescent="0.55000000000000004">
      <c r="L72" s="1">
        <v>114</v>
      </c>
    </row>
    <row r="73" spans="12:12" x14ac:dyDescent="0.55000000000000004">
      <c r="L73" s="1">
        <v>136</v>
      </c>
    </row>
    <row r="74" spans="12:12" x14ac:dyDescent="0.55000000000000004">
      <c r="L74" s="1">
        <v>110</v>
      </c>
    </row>
    <row r="75" spans="12:12" x14ac:dyDescent="0.55000000000000004">
      <c r="L75" s="1">
        <v>129</v>
      </c>
    </row>
    <row r="76" spans="12:12" x14ac:dyDescent="0.55000000000000004">
      <c r="L76" s="1">
        <v>145</v>
      </c>
    </row>
    <row r="77" spans="12:12" x14ac:dyDescent="0.55000000000000004">
      <c r="L77" s="1">
        <v>132</v>
      </c>
    </row>
    <row r="78" spans="12:12" x14ac:dyDescent="0.55000000000000004">
      <c r="L78" s="1">
        <v>125</v>
      </c>
    </row>
    <row r="79" spans="12:12" x14ac:dyDescent="0.55000000000000004">
      <c r="L79" s="1">
        <v>149</v>
      </c>
    </row>
    <row r="80" spans="12:12" x14ac:dyDescent="0.55000000000000004">
      <c r="L80" s="1">
        <v>146</v>
      </c>
    </row>
    <row r="81" spans="12:12" x14ac:dyDescent="0.55000000000000004">
      <c r="L81" s="1">
        <v>138</v>
      </c>
    </row>
    <row r="82" spans="12:12" x14ac:dyDescent="0.55000000000000004">
      <c r="L82" s="1">
        <v>151</v>
      </c>
    </row>
    <row r="83" spans="12:12" x14ac:dyDescent="0.55000000000000004">
      <c r="L83" s="1">
        <v>147</v>
      </c>
    </row>
    <row r="84" spans="12:12" x14ac:dyDescent="0.55000000000000004">
      <c r="L84" s="1">
        <v>154</v>
      </c>
    </row>
    <row r="85" spans="12:12" x14ac:dyDescent="0.55000000000000004">
      <c r="L85" s="1">
        <v>147</v>
      </c>
    </row>
    <row r="86" spans="12:12" x14ac:dyDescent="0.55000000000000004">
      <c r="L86" s="1">
        <v>158</v>
      </c>
    </row>
    <row r="87" spans="12:12" x14ac:dyDescent="0.55000000000000004">
      <c r="L87" s="1">
        <v>156</v>
      </c>
    </row>
    <row r="88" spans="12:12" x14ac:dyDescent="0.55000000000000004">
      <c r="L88" s="1">
        <v>156</v>
      </c>
    </row>
    <row r="89" spans="12:12" x14ac:dyDescent="0.55000000000000004">
      <c r="L89" s="1">
        <v>128</v>
      </c>
    </row>
    <row r="90" spans="12:12" x14ac:dyDescent="0.55000000000000004">
      <c r="L90" s="1">
        <v>151</v>
      </c>
    </row>
    <row r="91" spans="12:12" x14ac:dyDescent="0.55000000000000004">
      <c r="L91" s="1">
        <v>138</v>
      </c>
    </row>
    <row r="92" spans="12:12" x14ac:dyDescent="0.55000000000000004">
      <c r="L92" s="1">
        <v>193</v>
      </c>
    </row>
    <row r="93" spans="12:12" x14ac:dyDescent="0.55000000000000004">
      <c r="L93" s="1">
        <v>131</v>
      </c>
    </row>
    <row r="94" spans="12:12" x14ac:dyDescent="0.55000000000000004">
      <c r="L94" s="1">
        <v>127</v>
      </c>
    </row>
    <row r="95" spans="12:12" x14ac:dyDescent="0.55000000000000004">
      <c r="L95" s="1">
        <v>129</v>
      </c>
    </row>
    <row r="96" spans="12:12" x14ac:dyDescent="0.55000000000000004">
      <c r="L96" s="1">
        <v>120</v>
      </c>
    </row>
    <row r="97" spans="12:12" x14ac:dyDescent="0.55000000000000004">
      <c r="L97" s="1">
        <v>159</v>
      </c>
    </row>
    <row r="98" spans="12:12" x14ac:dyDescent="0.55000000000000004">
      <c r="L98" s="1">
        <v>147</v>
      </c>
    </row>
    <row r="99" spans="12:12" x14ac:dyDescent="0.55000000000000004">
      <c r="L99" s="1">
        <v>159</v>
      </c>
    </row>
    <row r="100" spans="12:12" x14ac:dyDescent="0.55000000000000004">
      <c r="L100" s="1">
        <v>156</v>
      </c>
    </row>
    <row r="101" spans="12:12" x14ac:dyDescent="0.55000000000000004">
      <c r="L101" s="1">
        <v>143</v>
      </c>
    </row>
    <row r="102" spans="12:12" x14ac:dyDescent="0.55000000000000004">
      <c r="L102" s="1">
        <v>149</v>
      </c>
    </row>
    <row r="103" spans="12:12" x14ac:dyDescent="0.55000000000000004">
      <c r="L103" s="1">
        <v>160</v>
      </c>
    </row>
    <row r="104" spans="12:12" x14ac:dyDescent="0.55000000000000004">
      <c r="L104" s="1">
        <v>126</v>
      </c>
    </row>
    <row r="105" spans="12:12" x14ac:dyDescent="0.55000000000000004">
      <c r="L105" s="1">
        <v>136</v>
      </c>
    </row>
    <row r="106" spans="12:12" x14ac:dyDescent="0.55000000000000004">
      <c r="L106" s="1">
        <v>150</v>
      </c>
    </row>
    <row r="107" spans="12:12" x14ac:dyDescent="0.55000000000000004">
      <c r="L107" s="1">
        <v>136</v>
      </c>
    </row>
    <row r="108" spans="12:12" x14ac:dyDescent="0.55000000000000004">
      <c r="L108" s="1">
        <v>151</v>
      </c>
    </row>
    <row r="109" spans="12:12" x14ac:dyDescent="0.55000000000000004">
      <c r="L109" s="1">
        <v>140</v>
      </c>
    </row>
    <row r="110" spans="12:12" x14ac:dyDescent="0.55000000000000004">
      <c r="L110" s="1">
        <v>145</v>
      </c>
    </row>
    <row r="111" spans="12:12" x14ac:dyDescent="0.55000000000000004">
      <c r="L111" s="1">
        <v>140</v>
      </c>
    </row>
    <row r="112" spans="12:12" x14ac:dyDescent="0.55000000000000004">
      <c r="L112" s="1">
        <v>134</v>
      </c>
    </row>
    <row r="113" spans="12:12" x14ac:dyDescent="0.55000000000000004">
      <c r="L113" s="1">
        <v>140</v>
      </c>
    </row>
    <row r="114" spans="12:12" x14ac:dyDescent="0.55000000000000004">
      <c r="L114" s="1">
        <v>138</v>
      </c>
    </row>
    <row r="115" spans="12:12" x14ac:dyDescent="0.55000000000000004">
      <c r="L115" s="1">
        <v>144</v>
      </c>
    </row>
    <row r="116" spans="12:12" x14ac:dyDescent="0.55000000000000004">
      <c r="L116" s="1">
        <v>140</v>
      </c>
    </row>
    <row r="117" spans="12:12" x14ac:dyDescent="0.55000000000000004">
      <c r="L117" s="1">
        <v>140</v>
      </c>
    </row>
  </sheetData>
  <printOptions gridLines="1"/>
  <pageMargins left="0.75" right="0.75" top="1" bottom="1" header="7.3648498454181696E-298" footer="0"/>
  <headerFooter>
    <oddHeader>&amp;C&amp;A</oddHeader>
    <oddFooter>&amp;CPage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5"/>
  <sheetViews>
    <sheetView workbookViewId="0"/>
  </sheetViews>
  <sheetFormatPr defaultColWidth="8.83203125" defaultRowHeight="14.4" x14ac:dyDescent="0.55000000000000004"/>
  <cols>
    <col min="1" max="1" width="5.44140625" style="1" bestFit="1" customWidth="1"/>
    <col min="2" max="2" width="8" style="1" bestFit="1" customWidth="1"/>
    <col min="3" max="3" width="4.1640625" style="1" bestFit="1" customWidth="1"/>
    <col min="4" max="4" width="8.71875" style="1" bestFit="1" customWidth="1"/>
    <col min="5" max="5" width="7.5546875" style="1" bestFit="1" customWidth="1"/>
    <col min="6" max="6" width="14.83203125" style="1" bestFit="1" customWidth="1"/>
    <col min="7" max="7" width="7.5546875" style="1" bestFit="1" customWidth="1"/>
    <col min="8" max="16384" width="8.83203125" style="2"/>
  </cols>
  <sheetData>
    <row r="1" spans="1:7" x14ac:dyDescent="0.55000000000000004">
      <c r="A1" s="1" t="s">
        <v>468</v>
      </c>
      <c r="B1" s="1" t="s">
        <v>212</v>
      </c>
      <c r="C1" s="2" t="s">
        <v>203</v>
      </c>
      <c r="D1" s="2" t="s">
        <v>11</v>
      </c>
      <c r="E1" s="2" t="s">
        <v>481</v>
      </c>
      <c r="F1" s="1" t="s">
        <v>489</v>
      </c>
      <c r="G1" s="2" t="s">
        <v>69</v>
      </c>
    </row>
    <row r="2" spans="1:7" x14ac:dyDescent="0.55000000000000004">
      <c r="A2" s="1">
        <v>1</v>
      </c>
      <c r="B2" s="1">
        <v>1</v>
      </c>
      <c r="C2" s="2">
        <v>0</v>
      </c>
      <c r="D2" s="2">
        <v>0</v>
      </c>
      <c r="E2" s="2">
        <v>1</v>
      </c>
      <c r="F2" s="2">
        <v>1</v>
      </c>
      <c r="G2" s="2">
        <v>1</v>
      </c>
    </row>
    <row r="3" spans="1:7" x14ac:dyDescent="0.55000000000000004">
      <c r="A3" s="1">
        <v>1</v>
      </c>
      <c r="B3" s="1">
        <v>1</v>
      </c>
      <c r="C3" s="2">
        <v>1</v>
      </c>
      <c r="D3" s="2">
        <v>1</v>
      </c>
      <c r="E3" s="2">
        <v>2</v>
      </c>
      <c r="F3" s="2">
        <v>1</v>
      </c>
      <c r="G3" s="2">
        <v>1</v>
      </c>
    </row>
    <row r="4" spans="1:7" x14ac:dyDescent="0.55000000000000004">
      <c r="A4" s="1">
        <v>1</v>
      </c>
      <c r="B4" s="1">
        <v>1</v>
      </c>
      <c r="C4" s="2">
        <v>1</v>
      </c>
      <c r="D4" s="2">
        <v>2</v>
      </c>
      <c r="E4" s="2">
        <v>2</v>
      </c>
      <c r="F4" s="2">
        <v>1</v>
      </c>
      <c r="G4" s="2">
        <v>1</v>
      </c>
    </row>
    <row r="5" spans="1:7" x14ac:dyDescent="0.55000000000000004">
      <c r="A5" s="1">
        <v>1</v>
      </c>
      <c r="B5" s="1">
        <v>1</v>
      </c>
      <c r="C5" s="2">
        <v>0</v>
      </c>
      <c r="D5" s="2">
        <v>2</v>
      </c>
      <c r="E5" s="2">
        <v>1</v>
      </c>
      <c r="F5" s="2">
        <v>1</v>
      </c>
      <c r="G5" s="2">
        <v>2</v>
      </c>
    </row>
    <row r="6" spans="1:7" x14ac:dyDescent="0.55000000000000004">
      <c r="A6" s="1">
        <v>1</v>
      </c>
      <c r="B6" s="1">
        <v>1</v>
      </c>
      <c r="C6" s="2">
        <v>1</v>
      </c>
      <c r="D6" s="2">
        <v>2</v>
      </c>
      <c r="E6" s="2">
        <v>1</v>
      </c>
      <c r="F6" s="2">
        <v>2</v>
      </c>
      <c r="G6" s="2">
        <v>1</v>
      </c>
    </row>
    <row r="7" spans="1:7" x14ac:dyDescent="0.55000000000000004">
      <c r="A7" s="1">
        <v>1</v>
      </c>
      <c r="B7" s="1">
        <v>1</v>
      </c>
      <c r="C7" s="2">
        <v>0</v>
      </c>
      <c r="D7" s="2">
        <v>1</v>
      </c>
      <c r="E7" s="2">
        <v>1</v>
      </c>
      <c r="F7" s="2">
        <v>2</v>
      </c>
      <c r="G7" s="2">
        <v>1</v>
      </c>
    </row>
    <row r="8" spans="1:7" x14ac:dyDescent="0.55000000000000004">
      <c r="A8" s="1">
        <v>1</v>
      </c>
      <c r="B8" s="1">
        <v>1</v>
      </c>
      <c r="C8" s="2">
        <v>0</v>
      </c>
      <c r="D8" s="2">
        <v>0</v>
      </c>
      <c r="E8" s="2">
        <v>1</v>
      </c>
      <c r="F8" s="2">
        <v>2</v>
      </c>
      <c r="G8" s="2">
        <v>1</v>
      </c>
    </row>
    <row r="9" spans="1:7" x14ac:dyDescent="0.55000000000000004">
      <c r="A9" s="1">
        <v>1</v>
      </c>
      <c r="B9" s="1">
        <v>1</v>
      </c>
      <c r="C9" s="2">
        <v>0</v>
      </c>
      <c r="D9" s="2">
        <v>1</v>
      </c>
      <c r="E9" s="2">
        <v>2</v>
      </c>
      <c r="F9" s="2">
        <v>2</v>
      </c>
      <c r="G9" s="2">
        <v>1</v>
      </c>
    </row>
    <row r="10" spans="1:7" x14ac:dyDescent="0.55000000000000004">
      <c r="A10" s="1">
        <v>1</v>
      </c>
      <c r="B10" s="1">
        <v>1</v>
      </c>
      <c r="C10" s="2">
        <v>1</v>
      </c>
      <c r="D10" s="2">
        <v>2</v>
      </c>
      <c r="E10" s="2">
        <v>2</v>
      </c>
      <c r="F10" s="2">
        <v>2</v>
      </c>
      <c r="G10" s="2">
        <v>1</v>
      </c>
    </row>
    <row r="11" spans="1:7" x14ac:dyDescent="0.55000000000000004">
      <c r="A11" s="1">
        <v>1</v>
      </c>
      <c r="B11" s="1">
        <v>1</v>
      </c>
      <c r="C11" s="2">
        <v>1</v>
      </c>
      <c r="D11" s="2">
        <v>0</v>
      </c>
      <c r="E11" s="2">
        <v>2</v>
      </c>
      <c r="F11" s="2">
        <v>2</v>
      </c>
      <c r="G11" s="2">
        <v>1</v>
      </c>
    </row>
    <row r="12" spans="1:7" x14ac:dyDescent="0.55000000000000004">
      <c r="A12" s="1">
        <v>1</v>
      </c>
      <c r="B12" s="1">
        <v>1</v>
      </c>
      <c r="E12" s="2">
        <v>3</v>
      </c>
      <c r="F12" s="2">
        <v>2</v>
      </c>
      <c r="G12" s="2">
        <v>1</v>
      </c>
    </row>
    <row r="13" spans="1:7" x14ac:dyDescent="0.55000000000000004">
      <c r="A13" s="1">
        <v>1</v>
      </c>
      <c r="B13" s="1">
        <v>1</v>
      </c>
      <c r="E13" s="2">
        <v>4</v>
      </c>
      <c r="F13" s="2">
        <v>2</v>
      </c>
      <c r="G13" s="2">
        <v>1</v>
      </c>
    </row>
    <row r="14" spans="1:7" x14ac:dyDescent="0.55000000000000004">
      <c r="A14" s="1">
        <v>1</v>
      </c>
      <c r="B14" s="1">
        <v>1</v>
      </c>
      <c r="E14" s="2">
        <v>4</v>
      </c>
      <c r="F14" s="2">
        <v>2</v>
      </c>
      <c r="G14" s="2">
        <v>1</v>
      </c>
    </row>
    <row r="15" spans="1:7" x14ac:dyDescent="0.55000000000000004">
      <c r="A15" s="1">
        <v>1</v>
      </c>
      <c r="B15" s="1">
        <v>1</v>
      </c>
      <c r="E15" s="2">
        <v>1</v>
      </c>
      <c r="F15" s="2">
        <v>2</v>
      </c>
      <c r="G15" s="2">
        <v>2</v>
      </c>
    </row>
    <row r="16" spans="1:7" x14ac:dyDescent="0.55000000000000004">
      <c r="A16" s="1">
        <v>1</v>
      </c>
      <c r="B16" s="1">
        <v>1</v>
      </c>
      <c r="E16" s="2">
        <v>2</v>
      </c>
      <c r="F16" s="2">
        <v>2</v>
      </c>
      <c r="G16" s="2">
        <v>2</v>
      </c>
    </row>
    <row r="17" spans="1:7" x14ac:dyDescent="0.55000000000000004">
      <c r="A17" s="1">
        <v>1</v>
      </c>
      <c r="B17" s="1">
        <v>1</v>
      </c>
      <c r="E17" s="2">
        <v>2</v>
      </c>
      <c r="F17" s="2">
        <v>2</v>
      </c>
      <c r="G17" s="2">
        <v>2</v>
      </c>
    </row>
    <row r="18" spans="1:7" x14ac:dyDescent="0.55000000000000004">
      <c r="A18" s="1">
        <v>1</v>
      </c>
      <c r="B18" s="1">
        <v>1</v>
      </c>
      <c r="E18" s="2">
        <v>2</v>
      </c>
      <c r="F18" s="2">
        <v>2</v>
      </c>
      <c r="G18" s="2">
        <v>2</v>
      </c>
    </row>
    <row r="19" spans="1:7" x14ac:dyDescent="0.55000000000000004">
      <c r="A19" s="1">
        <v>1</v>
      </c>
      <c r="B19" s="1">
        <v>2</v>
      </c>
      <c r="E19" s="2">
        <v>4</v>
      </c>
      <c r="F19" s="2">
        <v>2</v>
      </c>
      <c r="G19" s="2">
        <v>2</v>
      </c>
    </row>
    <row r="20" spans="1:7" x14ac:dyDescent="0.55000000000000004">
      <c r="A20" s="1">
        <v>1</v>
      </c>
      <c r="B20" s="1">
        <v>2</v>
      </c>
      <c r="E20" s="2">
        <v>1</v>
      </c>
      <c r="F20" s="2">
        <v>3</v>
      </c>
      <c r="G20" s="2">
        <v>1</v>
      </c>
    </row>
    <row r="21" spans="1:7" x14ac:dyDescent="0.55000000000000004">
      <c r="A21" s="1">
        <v>1</v>
      </c>
      <c r="B21" s="1">
        <v>2</v>
      </c>
      <c r="E21" s="2">
        <v>1</v>
      </c>
      <c r="F21" s="2">
        <v>3</v>
      </c>
      <c r="G21" s="2">
        <v>1</v>
      </c>
    </row>
    <row r="22" spans="1:7" x14ac:dyDescent="0.55000000000000004">
      <c r="A22" s="1">
        <v>1</v>
      </c>
      <c r="B22" s="1">
        <v>2</v>
      </c>
      <c r="E22" s="2">
        <v>1</v>
      </c>
      <c r="F22" s="2">
        <v>3</v>
      </c>
      <c r="G22" s="2">
        <v>1</v>
      </c>
    </row>
    <row r="23" spans="1:7" x14ac:dyDescent="0.55000000000000004">
      <c r="A23" s="1">
        <v>1</v>
      </c>
      <c r="B23" s="1">
        <v>2</v>
      </c>
      <c r="E23" s="2">
        <v>1</v>
      </c>
      <c r="F23" s="2">
        <v>3</v>
      </c>
      <c r="G23" s="2">
        <v>1</v>
      </c>
    </row>
    <row r="24" spans="1:7" x14ac:dyDescent="0.55000000000000004">
      <c r="A24" s="1">
        <v>1</v>
      </c>
      <c r="B24" s="1">
        <v>2</v>
      </c>
      <c r="E24" s="2">
        <v>1</v>
      </c>
      <c r="F24" s="2">
        <v>3</v>
      </c>
      <c r="G24" s="2">
        <v>1</v>
      </c>
    </row>
    <row r="25" spans="1:7" x14ac:dyDescent="0.55000000000000004">
      <c r="A25" s="1">
        <v>1</v>
      </c>
      <c r="B25" s="1">
        <v>2</v>
      </c>
      <c r="E25" s="2">
        <v>1</v>
      </c>
      <c r="F25" s="2">
        <v>3</v>
      </c>
      <c r="G25" s="2">
        <v>1</v>
      </c>
    </row>
    <row r="26" spans="1:7" x14ac:dyDescent="0.55000000000000004">
      <c r="A26" s="1">
        <v>1</v>
      </c>
      <c r="B26" s="1">
        <v>2</v>
      </c>
      <c r="E26" s="2">
        <v>1</v>
      </c>
      <c r="F26" s="2">
        <v>3</v>
      </c>
      <c r="G26" s="2">
        <v>1</v>
      </c>
    </row>
    <row r="27" spans="1:7" x14ac:dyDescent="0.55000000000000004">
      <c r="A27" s="1">
        <v>1</v>
      </c>
      <c r="B27" s="1">
        <v>2</v>
      </c>
      <c r="E27" s="2">
        <v>1</v>
      </c>
      <c r="F27" s="2">
        <v>3</v>
      </c>
      <c r="G27" s="2">
        <v>1</v>
      </c>
    </row>
    <row r="28" spans="1:7" x14ac:dyDescent="0.55000000000000004">
      <c r="A28" s="1">
        <v>1</v>
      </c>
      <c r="B28" s="1">
        <v>3</v>
      </c>
      <c r="E28" s="2">
        <v>1</v>
      </c>
      <c r="F28" s="2">
        <v>3</v>
      </c>
      <c r="G28" s="2">
        <v>1</v>
      </c>
    </row>
    <row r="29" spans="1:7" x14ac:dyDescent="0.55000000000000004">
      <c r="A29" s="1">
        <v>1</v>
      </c>
      <c r="B29" s="1">
        <v>3</v>
      </c>
      <c r="E29" s="2">
        <v>1</v>
      </c>
      <c r="F29" s="2">
        <v>3</v>
      </c>
      <c r="G29" s="2">
        <v>1</v>
      </c>
    </row>
    <row r="30" spans="1:7" x14ac:dyDescent="0.55000000000000004">
      <c r="A30" s="1">
        <v>1</v>
      </c>
      <c r="B30" s="1">
        <v>3</v>
      </c>
      <c r="E30" s="2">
        <v>1</v>
      </c>
      <c r="F30" s="2">
        <v>3</v>
      </c>
      <c r="G30" s="2">
        <v>1</v>
      </c>
    </row>
    <row r="31" spans="1:7" x14ac:dyDescent="0.55000000000000004">
      <c r="A31" s="1">
        <v>1</v>
      </c>
      <c r="B31" s="1">
        <v>3</v>
      </c>
      <c r="E31" s="2">
        <v>2</v>
      </c>
      <c r="F31" s="2">
        <v>3</v>
      </c>
      <c r="G31" s="2">
        <v>1</v>
      </c>
    </row>
    <row r="32" spans="1:7" x14ac:dyDescent="0.55000000000000004">
      <c r="A32" s="1">
        <v>1</v>
      </c>
      <c r="B32" s="1">
        <v>3</v>
      </c>
      <c r="E32" s="2">
        <v>2</v>
      </c>
      <c r="F32" s="2">
        <v>3</v>
      </c>
      <c r="G32" s="2">
        <v>1</v>
      </c>
    </row>
    <row r="33" spans="1:7" x14ac:dyDescent="0.55000000000000004">
      <c r="A33" s="1">
        <v>1</v>
      </c>
      <c r="B33" s="1">
        <v>3</v>
      </c>
      <c r="E33" s="2">
        <v>2</v>
      </c>
      <c r="F33" s="2">
        <v>3</v>
      </c>
      <c r="G33" s="2">
        <v>1</v>
      </c>
    </row>
    <row r="34" spans="1:7" x14ac:dyDescent="0.55000000000000004">
      <c r="A34" s="1">
        <v>1</v>
      </c>
      <c r="B34" s="1">
        <v>3</v>
      </c>
      <c r="E34" s="2">
        <v>2</v>
      </c>
      <c r="F34" s="2">
        <v>3</v>
      </c>
      <c r="G34" s="2">
        <v>1</v>
      </c>
    </row>
    <row r="35" spans="1:7" x14ac:dyDescent="0.55000000000000004">
      <c r="A35" s="1">
        <v>1</v>
      </c>
      <c r="B35" s="1">
        <v>3</v>
      </c>
      <c r="E35" s="2">
        <v>2</v>
      </c>
      <c r="F35" s="2">
        <v>3</v>
      </c>
      <c r="G35" s="2">
        <v>1</v>
      </c>
    </row>
    <row r="36" spans="1:7" x14ac:dyDescent="0.55000000000000004">
      <c r="A36" s="1">
        <v>2</v>
      </c>
      <c r="B36" s="1">
        <v>1</v>
      </c>
      <c r="E36" s="2">
        <v>2</v>
      </c>
      <c r="F36" s="2">
        <v>3</v>
      </c>
      <c r="G36" s="2">
        <v>1</v>
      </c>
    </row>
    <row r="37" spans="1:7" x14ac:dyDescent="0.55000000000000004">
      <c r="A37" s="1">
        <v>2</v>
      </c>
      <c r="B37" s="1">
        <v>1</v>
      </c>
      <c r="E37" s="2">
        <v>2</v>
      </c>
      <c r="F37" s="2">
        <v>3</v>
      </c>
      <c r="G37" s="2">
        <v>1</v>
      </c>
    </row>
    <row r="38" spans="1:7" x14ac:dyDescent="0.55000000000000004">
      <c r="A38" s="1">
        <v>2</v>
      </c>
      <c r="B38" s="1">
        <v>1</v>
      </c>
      <c r="E38" s="2">
        <v>2</v>
      </c>
      <c r="F38" s="2">
        <v>3</v>
      </c>
      <c r="G38" s="2">
        <v>1</v>
      </c>
    </row>
    <row r="39" spans="1:7" x14ac:dyDescent="0.55000000000000004">
      <c r="A39" s="1">
        <v>2</v>
      </c>
      <c r="B39" s="1">
        <v>1</v>
      </c>
      <c r="E39" s="2">
        <v>2</v>
      </c>
      <c r="F39" s="2">
        <v>3</v>
      </c>
      <c r="G39" s="2">
        <v>1</v>
      </c>
    </row>
    <row r="40" spans="1:7" x14ac:dyDescent="0.55000000000000004">
      <c r="A40" s="1">
        <v>2</v>
      </c>
      <c r="B40" s="1">
        <v>1</v>
      </c>
      <c r="E40" s="2">
        <v>2</v>
      </c>
      <c r="F40" s="2">
        <v>3</v>
      </c>
      <c r="G40" s="2">
        <v>1</v>
      </c>
    </row>
    <row r="41" spans="1:7" x14ac:dyDescent="0.55000000000000004">
      <c r="A41" s="1">
        <v>2</v>
      </c>
      <c r="B41" s="1">
        <v>1</v>
      </c>
      <c r="E41" s="2">
        <v>2</v>
      </c>
      <c r="F41" s="2">
        <v>3</v>
      </c>
      <c r="G41" s="2">
        <v>1</v>
      </c>
    </row>
    <row r="42" spans="1:7" x14ac:dyDescent="0.55000000000000004">
      <c r="A42" s="1">
        <v>2</v>
      </c>
      <c r="B42" s="1">
        <v>2</v>
      </c>
      <c r="E42" s="2">
        <v>2</v>
      </c>
      <c r="F42" s="2">
        <v>3</v>
      </c>
      <c r="G42" s="2">
        <v>1</v>
      </c>
    </row>
    <row r="43" spans="1:7" x14ac:dyDescent="0.55000000000000004">
      <c r="A43" s="1">
        <v>2</v>
      </c>
      <c r="B43" s="1">
        <v>2</v>
      </c>
      <c r="E43" s="2">
        <v>2</v>
      </c>
      <c r="F43" s="2">
        <v>3</v>
      </c>
      <c r="G43" s="2">
        <v>1</v>
      </c>
    </row>
    <row r="44" spans="1:7" x14ac:dyDescent="0.55000000000000004">
      <c r="A44" s="1">
        <v>2</v>
      </c>
      <c r="B44" s="1">
        <v>2</v>
      </c>
      <c r="E44" s="2">
        <v>2</v>
      </c>
      <c r="F44" s="2">
        <v>3</v>
      </c>
      <c r="G44" s="2">
        <v>1</v>
      </c>
    </row>
    <row r="45" spans="1:7" x14ac:dyDescent="0.55000000000000004">
      <c r="A45" s="1">
        <v>2</v>
      </c>
      <c r="B45" s="1">
        <v>2</v>
      </c>
      <c r="E45" s="2">
        <v>2</v>
      </c>
      <c r="F45" s="2">
        <v>3</v>
      </c>
      <c r="G45" s="2">
        <v>1</v>
      </c>
    </row>
    <row r="46" spans="1:7" x14ac:dyDescent="0.55000000000000004">
      <c r="A46" s="1">
        <v>2</v>
      </c>
      <c r="B46" s="1">
        <v>2</v>
      </c>
      <c r="E46" s="2">
        <v>2</v>
      </c>
      <c r="F46" s="2">
        <v>3</v>
      </c>
      <c r="G46" s="2">
        <v>1</v>
      </c>
    </row>
    <row r="47" spans="1:7" x14ac:dyDescent="0.55000000000000004">
      <c r="A47" s="1">
        <v>2</v>
      </c>
      <c r="B47" s="1">
        <v>3</v>
      </c>
      <c r="E47" s="2">
        <v>2</v>
      </c>
      <c r="F47" s="2">
        <v>3</v>
      </c>
      <c r="G47" s="2">
        <v>1</v>
      </c>
    </row>
    <row r="48" spans="1:7" x14ac:dyDescent="0.55000000000000004">
      <c r="A48" s="1">
        <v>3</v>
      </c>
      <c r="B48" s="1">
        <v>1</v>
      </c>
      <c r="E48" s="2">
        <v>3</v>
      </c>
      <c r="F48" s="2">
        <v>3</v>
      </c>
      <c r="G48" s="2">
        <v>1</v>
      </c>
    </row>
    <row r="49" spans="1:7" x14ac:dyDescent="0.55000000000000004">
      <c r="A49" s="1">
        <v>3</v>
      </c>
      <c r="B49" s="1">
        <v>1</v>
      </c>
      <c r="E49" s="2">
        <v>3</v>
      </c>
      <c r="F49" s="2">
        <v>3</v>
      </c>
      <c r="G49" s="2">
        <v>1</v>
      </c>
    </row>
    <row r="50" spans="1:7" x14ac:dyDescent="0.55000000000000004">
      <c r="A50" s="1">
        <v>3</v>
      </c>
      <c r="B50" s="1">
        <v>1</v>
      </c>
      <c r="E50" s="2">
        <v>3</v>
      </c>
      <c r="F50" s="2">
        <v>3</v>
      </c>
      <c r="G50" s="2">
        <v>1</v>
      </c>
    </row>
    <row r="51" spans="1:7" x14ac:dyDescent="0.55000000000000004">
      <c r="A51" s="1">
        <v>3</v>
      </c>
      <c r="B51" s="1">
        <v>2</v>
      </c>
      <c r="E51" s="2">
        <v>3</v>
      </c>
      <c r="F51" s="2">
        <v>3</v>
      </c>
      <c r="G51" s="2">
        <v>1</v>
      </c>
    </row>
    <row r="52" spans="1:7" x14ac:dyDescent="0.55000000000000004">
      <c r="A52" s="1">
        <v>3</v>
      </c>
      <c r="B52" s="1">
        <v>2</v>
      </c>
      <c r="E52" s="2">
        <v>3</v>
      </c>
      <c r="F52" s="2">
        <v>3</v>
      </c>
      <c r="G52" s="2">
        <v>1</v>
      </c>
    </row>
    <row r="53" spans="1:7" x14ac:dyDescent="0.55000000000000004">
      <c r="A53" s="1">
        <v>3</v>
      </c>
      <c r="B53" s="1">
        <v>2</v>
      </c>
      <c r="E53" s="2">
        <v>3</v>
      </c>
      <c r="F53" s="2">
        <v>3</v>
      </c>
      <c r="G53" s="2">
        <v>1</v>
      </c>
    </row>
    <row r="54" spans="1:7" x14ac:dyDescent="0.55000000000000004">
      <c r="A54" s="1">
        <v>3</v>
      </c>
      <c r="B54" s="1">
        <v>2</v>
      </c>
      <c r="E54" s="2">
        <v>3</v>
      </c>
      <c r="F54" s="2">
        <v>3</v>
      </c>
      <c r="G54" s="2">
        <v>1</v>
      </c>
    </row>
    <row r="55" spans="1:7" x14ac:dyDescent="0.55000000000000004">
      <c r="A55" s="1">
        <v>3</v>
      </c>
      <c r="B55" s="1">
        <v>2</v>
      </c>
      <c r="E55" s="2">
        <v>3</v>
      </c>
      <c r="F55" s="2">
        <v>3</v>
      </c>
      <c r="G55" s="2">
        <v>1</v>
      </c>
    </row>
    <row r="56" spans="1:7" x14ac:dyDescent="0.55000000000000004">
      <c r="A56" s="1">
        <v>3</v>
      </c>
      <c r="B56" s="1">
        <v>3</v>
      </c>
      <c r="E56" s="2">
        <v>4</v>
      </c>
      <c r="F56" s="2">
        <v>3</v>
      </c>
      <c r="G56" s="2">
        <v>1</v>
      </c>
    </row>
    <row r="57" spans="1:7" x14ac:dyDescent="0.55000000000000004">
      <c r="A57" s="1">
        <v>3</v>
      </c>
      <c r="B57" s="1">
        <v>3</v>
      </c>
      <c r="E57" s="2">
        <v>4</v>
      </c>
      <c r="F57" s="2">
        <v>3</v>
      </c>
      <c r="G57" s="2">
        <v>1</v>
      </c>
    </row>
    <row r="58" spans="1:7" x14ac:dyDescent="0.55000000000000004">
      <c r="A58" s="1">
        <v>3</v>
      </c>
      <c r="B58" s="1">
        <v>3</v>
      </c>
      <c r="E58" s="2">
        <v>4</v>
      </c>
      <c r="F58" s="2">
        <v>3</v>
      </c>
      <c r="G58" s="2">
        <v>1</v>
      </c>
    </row>
    <row r="59" spans="1:7" x14ac:dyDescent="0.55000000000000004">
      <c r="A59" s="1">
        <v>3</v>
      </c>
      <c r="B59" s="1">
        <v>3</v>
      </c>
      <c r="E59" s="2">
        <v>4</v>
      </c>
      <c r="F59" s="2">
        <v>3</v>
      </c>
      <c r="G59" s="2">
        <v>1</v>
      </c>
    </row>
    <row r="60" spans="1:7" x14ac:dyDescent="0.55000000000000004">
      <c r="A60" s="1">
        <v>4</v>
      </c>
      <c r="B60" s="1">
        <v>1</v>
      </c>
      <c r="E60" s="2">
        <v>1</v>
      </c>
      <c r="F60" s="2">
        <v>3</v>
      </c>
      <c r="G60" s="2">
        <v>2</v>
      </c>
    </row>
    <row r="61" spans="1:7" x14ac:dyDescent="0.55000000000000004">
      <c r="A61" s="1">
        <v>4</v>
      </c>
      <c r="B61" s="1">
        <v>2</v>
      </c>
      <c r="E61" s="2">
        <v>1</v>
      </c>
      <c r="F61" s="2">
        <v>3</v>
      </c>
      <c r="G61" s="2">
        <v>2</v>
      </c>
    </row>
    <row r="62" spans="1:7" x14ac:dyDescent="0.55000000000000004">
      <c r="A62" s="1">
        <v>4</v>
      </c>
      <c r="B62" s="1">
        <v>2</v>
      </c>
      <c r="E62" s="2">
        <v>2</v>
      </c>
      <c r="F62" s="2">
        <v>3</v>
      </c>
      <c r="G62" s="2">
        <v>2</v>
      </c>
    </row>
    <row r="63" spans="1:7" x14ac:dyDescent="0.55000000000000004">
      <c r="A63" s="1">
        <v>4</v>
      </c>
      <c r="B63" s="1">
        <v>3</v>
      </c>
      <c r="E63" s="2">
        <v>2</v>
      </c>
      <c r="F63" s="2">
        <v>3</v>
      </c>
      <c r="G63" s="2">
        <v>2</v>
      </c>
    </row>
    <row r="64" spans="1:7" x14ac:dyDescent="0.55000000000000004">
      <c r="A64" s="1">
        <v>4</v>
      </c>
      <c r="B64" s="1">
        <v>3</v>
      </c>
      <c r="E64" s="2">
        <v>2</v>
      </c>
      <c r="F64" s="2">
        <v>3</v>
      </c>
      <c r="G64" s="2">
        <v>2</v>
      </c>
    </row>
    <row r="65" spans="1:7" x14ac:dyDescent="0.55000000000000004">
      <c r="A65" s="1">
        <v>4</v>
      </c>
      <c r="B65" s="1">
        <v>3</v>
      </c>
      <c r="E65" s="2">
        <v>2</v>
      </c>
      <c r="F65" s="2">
        <v>3</v>
      </c>
      <c r="G65" s="2">
        <v>2</v>
      </c>
    </row>
    <row r="66" spans="1:7" x14ac:dyDescent="0.55000000000000004">
      <c r="A66" s="1">
        <v>4</v>
      </c>
      <c r="B66" s="1">
        <v>3</v>
      </c>
      <c r="E66" s="2">
        <v>2</v>
      </c>
      <c r="F66" s="2">
        <v>3</v>
      </c>
      <c r="G66" s="2">
        <v>2</v>
      </c>
    </row>
    <row r="67" spans="1:7" x14ac:dyDescent="0.55000000000000004">
      <c r="A67" s="1">
        <v>4</v>
      </c>
      <c r="B67" s="1">
        <v>3</v>
      </c>
      <c r="E67" s="2">
        <v>3</v>
      </c>
      <c r="F67" s="2">
        <v>3</v>
      </c>
      <c r="G67" s="2">
        <v>2</v>
      </c>
    </row>
    <row r="68" spans="1:7" x14ac:dyDescent="0.55000000000000004">
      <c r="E68" s="2">
        <v>3</v>
      </c>
      <c r="F68" s="2">
        <v>3</v>
      </c>
      <c r="G68" s="2">
        <v>2</v>
      </c>
    </row>
    <row r="69" spans="1:7" x14ac:dyDescent="0.55000000000000004">
      <c r="E69" s="2">
        <v>3</v>
      </c>
      <c r="F69" s="2">
        <v>3</v>
      </c>
      <c r="G69" s="2">
        <v>2</v>
      </c>
    </row>
    <row r="70" spans="1:7" x14ac:dyDescent="0.55000000000000004">
      <c r="E70" s="2">
        <v>3</v>
      </c>
      <c r="F70" s="2">
        <v>3</v>
      </c>
      <c r="G70" s="2">
        <v>2</v>
      </c>
    </row>
    <row r="71" spans="1:7" x14ac:dyDescent="0.55000000000000004">
      <c r="E71" s="2">
        <v>3</v>
      </c>
      <c r="F71" s="2">
        <v>3</v>
      </c>
      <c r="G71" s="2">
        <v>2</v>
      </c>
    </row>
    <row r="72" spans="1:7" x14ac:dyDescent="0.55000000000000004">
      <c r="E72" s="2">
        <v>3</v>
      </c>
      <c r="F72" s="2">
        <v>3</v>
      </c>
      <c r="G72" s="2">
        <v>2</v>
      </c>
    </row>
    <row r="73" spans="1:7" x14ac:dyDescent="0.55000000000000004">
      <c r="E73" s="2">
        <v>3</v>
      </c>
      <c r="F73" s="2">
        <v>3</v>
      </c>
      <c r="G73" s="2">
        <v>2</v>
      </c>
    </row>
    <row r="74" spans="1:7" x14ac:dyDescent="0.55000000000000004">
      <c r="E74" s="2">
        <v>4</v>
      </c>
      <c r="F74" s="2">
        <v>3</v>
      </c>
      <c r="G74" s="2">
        <v>2</v>
      </c>
    </row>
    <row r="75" spans="1:7" x14ac:dyDescent="0.55000000000000004">
      <c r="E75" s="2">
        <v>4</v>
      </c>
      <c r="F75" s="2">
        <v>3</v>
      </c>
      <c r="G75" s="2">
        <v>2</v>
      </c>
    </row>
    <row r="76" spans="1:7" x14ac:dyDescent="0.55000000000000004">
      <c r="E76" s="2">
        <v>4</v>
      </c>
      <c r="F76" s="2">
        <v>3</v>
      </c>
      <c r="G76" s="2">
        <v>2</v>
      </c>
    </row>
    <row r="77" spans="1:7" x14ac:dyDescent="0.55000000000000004">
      <c r="E77" s="2">
        <v>4</v>
      </c>
      <c r="F77" s="2">
        <v>3</v>
      </c>
      <c r="G77" s="2">
        <v>2</v>
      </c>
    </row>
    <row r="78" spans="1:7" x14ac:dyDescent="0.55000000000000004">
      <c r="E78" s="2">
        <v>4</v>
      </c>
      <c r="F78" s="2">
        <v>3</v>
      </c>
      <c r="G78" s="2">
        <v>2</v>
      </c>
    </row>
    <row r="79" spans="1:7" x14ac:dyDescent="0.55000000000000004">
      <c r="E79" s="2">
        <v>4</v>
      </c>
      <c r="F79" s="2">
        <v>3</v>
      </c>
      <c r="G79" s="2">
        <v>2</v>
      </c>
    </row>
    <row r="80" spans="1:7" x14ac:dyDescent="0.55000000000000004">
      <c r="E80" s="2">
        <v>4</v>
      </c>
      <c r="F80" s="2">
        <v>3</v>
      </c>
      <c r="G80" s="2">
        <v>2</v>
      </c>
    </row>
    <row r="81" spans="5:7" x14ac:dyDescent="0.55000000000000004">
      <c r="E81" s="2">
        <v>4</v>
      </c>
      <c r="F81" s="2">
        <v>3</v>
      </c>
      <c r="G81" s="2">
        <v>2</v>
      </c>
    </row>
    <row r="82" spans="5:7" x14ac:dyDescent="0.55000000000000004">
      <c r="E82" s="2">
        <v>4</v>
      </c>
      <c r="F82" s="2">
        <v>3</v>
      </c>
      <c r="G82" s="2">
        <v>2</v>
      </c>
    </row>
    <row r="83" spans="5:7" x14ac:dyDescent="0.55000000000000004">
      <c r="E83" s="2">
        <v>1</v>
      </c>
      <c r="F83" s="2">
        <v>4</v>
      </c>
      <c r="G83" s="2">
        <v>1</v>
      </c>
    </row>
    <row r="84" spans="5:7" x14ac:dyDescent="0.55000000000000004">
      <c r="E84" s="2">
        <v>1</v>
      </c>
      <c r="F84" s="2">
        <v>4</v>
      </c>
      <c r="G84" s="2">
        <v>1</v>
      </c>
    </row>
    <row r="85" spans="5:7" x14ac:dyDescent="0.55000000000000004">
      <c r="E85" s="2">
        <v>2</v>
      </c>
      <c r="F85" s="2">
        <v>4</v>
      </c>
      <c r="G85" s="2">
        <v>1</v>
      </c>
    </row>
    <row r="86" spans="5:7" x14ac:dyDescent="0.55000000000000004">
      <c r="E86" s="2">
        <v>2</v>
      </c>
      <c r="F86" s="2">
        <v>4</v>
      </c>
      <c r="G86" s="2">
        <v>1</v>
      </c>
    </row>
    <row r="87" spans="5:7" x14ac:dyDescent="0.55000000000000004">
      <c r="E87" s="2">
        <v>2</v>
      </c>
      <c r="F87" s="2">
        <v>4</v>
      </c>
      <c r="G87" s="2">
        <v>1</v>
      </c>
    </row>
    <row r="88" spans="5:7" x14ac:dyDescent="0.55000000000000004">
      <c r="E88" s="2">
        <v>3</v>
      </c>
      <c r="F88" s="2">
        <v>4</v>
      </c>
      <c r="G88" s="2">
        <v>1</v>
      </c>
    </row>
    <row r="89" spans="5:7" x14ac:dyDescent="0.55000000000000004">
      <c r="E89" s="2">
        <v>3</v>
      </c>
      <c r="F89" s="2">
        <v>4</v>
      </c>
      <c r="G89" s="2">
        <v>1</v>
      </c>
    </row>
    <row r="90" spans="5:7" x14ac:dyDescent="0.55000000000000004">
      <c r="E90" s="2">
        <v>3</v>
      </c>
      <c r="F90" s="2">
        <v>4</v>
      </c>
      <c r="G90" s="2">
        <v>1</v>
      </c>
    </row>
    <row r="91" spans="5:7" x14ac:dyDescent="0.55000000000000004">
      <c r="E91" s="2">
        <v>3</v>
      </c>
      <c r="F91" s="2">
        <v>4</v>
      </c>
      <c r="G91" s="2">
        <v>1</v>
      </c>
    </row>
    <row r="92" spans="5:7" x14ac:dyDescent="0.55000000000000004">
      <c r="E92" s="2">
        <v>3</v>
      </c>
      <c r="F92" s="2">
        <v>4</v>
      </c>
      <c r="G92" s="2">
        <v>1</v>
      </c>
    </row>
    <row r="93" spans="5:7" x14ac:dyDescent="0.55000000000000004">
      <c r="E93" s="2">
        <v>4</v>
      </c>
      <c r="F93" s="2">
        <v>4</v>
      </c>
      <c r="G93" s="2">
        <v>1</v>
      </c>
    </row>
    <row r="94" spans="5:7" x14ac:dyDescent="0.55000000000000004">
      <c r="E94" s="2">
        <v>4</v>
      </c>
      <c r="F94" s="2">
        <v>4</v>
      </c>
      <c r="G94" s="2">
        <v>1</v>
      </c>
    </row>
    <row r="95" spans="5:7" x14ac:dyDescent="0.55000000000000004">
      <c r="E95" s="2">
        <v>1</v>
      </c>
      <c r="F95" s="2">
        <v>4</v>
      </c>
      <c r="G95" s="2">
        <v>2</v>
      </c>
    </row>
    <row r="96" spans="5:7" x14ac:dyDescent="0.55000000000000004">
      <c r="E96" s="2">
        <v>2</v>
      </c>
      <c r="F96" s="2">
        <v>4</v>
      </c>
      <c r="G96" s="2">
        <v>2</v>
      </c>
    </row>
    <row r="97" spans="5:7" x14ac:dyDescent="0.55000000000000004">
      <c r="E97" s="2">
        <v>3</v>
      </c>
      <c r="F97" s="2">
        <v>4</v>
      </c>
      <c r="G97" s="2">
        <v>2</v>
      </c>
    </row>
    <row r="98" spans="5:7" x14ac:dyDescent="0.55000000000000004">
      <c r="E98" s="2">
        <v>3</v>
      </c>
      <c r="F98" s="2">
        <v>4</v>
      </c>
      <c r="G98" s="2">
        <v>2</v>
      </c>
    </row>
    <row r="99" spans="5:7" x14ac:dyDescent="0.55000000000000004">
      <c r="E99" s="2">
        <v>3</v>
      </c>
      <c r="F99" s="2">
        <v>4</v>
      </c>
      <c r="G99" s="2">
        <v>2</v>
      </c>
    </row>
    <row r="100" spans="5:7" x14ac:dyDescent="0.55000000000000004">
      <c r="E100" s="2">
        <v>4</v>
      </c>
      <c r="F100" s="2">
        <v>4</v>
      </c>
      <c r="G100" s="2">
        <v>2</v>
      </c>
    </row>
    <row r="101" spans="5:7" x14ac:dyDescent="0.55000000000000004">
      <c r="E101" s="2">
        <v>4</v>
      </c>
      <c r="F101" s="2">
        <v>4</v>
      </c>
      <c r="G101" s="2">
        <v>2</v>
      </c>
    </row>
    <row r="102" spans="5:7" x14ac:dyDescent="0.55000000000000004">
      <c r="E102" s="2">
        <v>4</v>
      </c>
      <c r="F102" s="2">
        <v>4</v>
      </c>
      <c r="G102" s="2">
        <v>2</v>
      </c>
    </row>
    <row r="103" spans="5:7" x14ac:dyDescent="0.55000000000000004">
      <c r="E103" s="2">
        <v>4</v>
      </c>
      <c r="F103" s="2">
        <v>4</v>
      </c>
      <c r="G103" s="2">
        <v>2</v>
      </c>
    </row>
    <row r="104" spans="5:7" x14ac:dyDescent="0.55000000000000004">
      <c r="E104" s="2">
        <v>4</v>
      </c>
      <c r="F104" s="2">
        <v>4</v>
      </c>
      <c r="G104" s="2">
        <v>2</v>
      </c>
    </row>
    <row r="105" spans="5:7" x14ac:dyDescent="0.55000000000000004">
      <c r="E105" s="2">
        <v>4</v>
      </c>
      <c r="F105" s="2">
        <v>4</v>
      </c>
      <c r="G105" s="2">
        <v>2</v>
      </c>
    </row>
  </sheetData>
  <printOptions gridLines="1"/>
  <pageMargins left="0.75" right="0.75" top="1" bottom="1" header="7.3648498454181696E-298" footer="0"/>
  <headerFooter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12"/>
  <sheetViews>
    <sheetView workbookViewId="0"/>
  </sheetViews>
  <sheetFormatPr defaultColWidth="15.5546875" defaultRowHeight="14.4" x14ac:dyDescent="0.55000000000000004"/>
  <cols>
    <col min="1" max="1" width="16.44140625" style="2" bestFit="1" customWidth="1"/>
    <col min="2" max="2" width="12.27734375" style="2" bestFit="1" customWidth="1"/>
    <col min="3" max="3" width="16.83203125" style="2" bestFit="1" customWidth="1"/>
    <col min="4" max="4" width="15.1640625" style="2" bestFit="1" customWidth="1"/>
    <col min="5" max="5" width="19" style="2" bestFit="1" customWidth="1"/>
    <col min="6" max="6" width="16.83203125" style="2" bestFit="1" customWidth="1"/>
    <col min="7" max="7" width="11.1640625" style="2" bestFit="1" customWidth="1"/>
    <col min="8" max="8" width="13.71875" style="2" bestFit="1" customWidth="1"/>
    <col min="9" max="9" width="12.83203125" style="2" bestFit="1" customWidth="1"/>
    <col min="10" max="10" width="18.1640625" style="2" bestFit="1" customWidth="1"/>
    <col min="11" max="11" width="17.5546875" style="2" bestFit="1" customWidth="1"/>
    <col min="12" max="12" width="3.1640625" style="2" bestFit="1" customWidth="1"/>
    <col min="13" max="13" width="7" style="2" bestFit="1" customWidth="1"/>
    <col min="14" max="14" width="5" style="2" bestFit="1" customWidth="1"/>
    <col min="15" max="16" width="7" style="2" bestFit="1" customWidth="1"/>
    <col min="17" max="17" width="9.5546875" style="2" bestFit="1" customWidth="1"/>
    <col min="18" max="16384" width="15.5546875" style="2"/>
  </cols>
  <sheetData>
    <row r="1" spans="1:17" x14ac:dyDescent="0.55000000000000004">
      <c r="A1" s="2" t="s">
        <v>280</v>
      </c>
      <c r="B1" s="2" t="s">
        <v>112</v>
      </c>
      <c r="C1" s="2" t="s">
        <v>435</v>
      </c>
      <c r="D1" s="2" t="s">
        <v>130</v>
      </c>
      <c r="E1" s="1" t="s">
        <v>396</v>
      </c>
      <c r="F1" s="1" t="s">
        <v>435</v>
      </c>
      <c r="G1" s="1" t="s">
        <v>214</v>
      </c>
      <c r="H1" s="2" t="s">
        <v>15</v>
      </c>
      <c r="I1" s="2" t="s">
        <v>352</v>
      </c>
      <c r="J1" s="2" t="s">
        <v>307</v>
      </c>
      <c r="K1" s="2" t="s">
        <v>40</v>
      </c>
      <c r="L1" s="2" t="s">
        <v>389</v>
      </c>
      <c r="M1" s="2" t="s">
        <v>274</v>
      </c>
      <c r="N1" s="2" t="s">
        <v>262</v>
      </c>
      <c r="O1" s="2" t="s">
        <v>474</v>
      </c>
      <c r="P1" s="2" t="s">
        <v>309</v>
      </c>
      <c r="Q1" s="1" t="s">
        <v>397</v>
      </c>
    </row>
    <row r="2" spans="1:17" x14ac:dyDescent="0.55000000000000004">
      <c r="A2" s="2" t="s">
        <v>200</v>
      </c>
      <c r="B2" s="1">
        <v>1</v>
      </c>
      <c r="C2" s="2">
        <v>38000</v>
      </c>
      <c r="D2" s="2">
        <v>15343</v>
      </c>
      <c r="E2" s="1">
        <f>5.859</f>
        <v>5.859</v>
      </c>
      <c r="F2" s="1">
        <v>1080</v>
      </c>
      <c r="G2" s="1" t="s">
        <v>222</v>
      </c>
      <c r="H2" s="2">
        <v>32</v>
      </c>
      <c r="I2" s="2">
        <v>52407</v>
      </c>
      <c r="J2" s="2">
        <v>2</v>
      </c>
      <c r="K2" s="2">
        <v>18790</v>
      </c>
      <c r="L2" s="2">
        <v>2</v>
      </c>
      <c r="M2" s="2">
        <v>285.10000000000002</v>
      </c>
      <c r="N2" s="2">
        <v>267</v>
      </c>
      <c r="O2" s="2">
        <v>201825</v>
      </c>
      <c r="P2" s="2">
        <v>201825</v>
      </c>
      <c r="Q2" s="2" t="s">
        <v>236</v>
      </c>
    </row>
    <row r="3" spans="1:17" x14ac:dyDescent="0.55000000000000004">
      <c r="A3" s="2" t="s">
        <v>275</v>
      </c>
      <c r="B3" s="2">
        <v>0</v>
      </c>
      <c r="C3" s="2">
        <v>150000</v>
      </c>
      <c r="D3" s="2">
        <v>64718</v>
      </c>
      <c r="E3" s="1">
        <v>13.05</v>
      </c>
      <c r="F3" s="1">
        <v>12860</v>
      </c>
      <c r="G3" s="1" t="s">
        <v>131</v>
      </c>
      <c r="H3" s="2">
        <v>104</v>
      </c>
      <c r="I3" s="2">
        <v>43248</v>
      </c>
      <c r="J3" s="2">
        <v>12</v>
      </c>
      <c r="K3" s="2">
        <v>10673</v>
      </c>
      <c r="L3" s="2">
        <v>55</v>
      </c>
      <c r="M3" s="2">
        <v>4179.1000000000004</v>
      </c>
      <c r="N3" s="2">
        <v>421</v>
      </c>
      <c r="O3" s="2">
        <v>263175</v>
      </c>
      <c r="P3" s="2">
        <v>263175</v>
      </c>
      <c r="Q3" s="2" t="s">
        <v>368</v>
      </c>
    </row>
    <row r="4" spans="1:17" x14ac:dyDescent="0.55000000000000004">
      <c r="A4" s="2" t="s">
        <v>94</v>
      </c>
      <c r="B4" s="2">
        <v>1</v>
      </c>
      <c r="C4" s="2">
        <v>322000</v>
      </c>
      <c r="D4" s="2">
        <v>170355</v>
      </c>
      <c r="E4" s="1">
        <v>46.936999999999998</v>
      </c>
      <c r="F4" s="1">
        <v>11510</v>
      </c>
      <c r="G4" s="1" t="s">
        <v>375</v>
      </c>
      <c r="H4" s="2">
        <v>206</v>
      </c>
      <c r="I4" s="2">
        <v>28612</v>
      </c>
      <c r="J4" s="2">
        <v>28</v>
      </c>
      <c r="K4" s="2">
        <v>5710</v>
      </c>
      <c r="L4" s="2">
        <v>32</v>
      </c>
      <c r="M4" s="2">
        <v>3291.2</v>
      </c>
      <c r="N4" s="2">
        <v>306</v>
      </c>
      <c r="O4" s="2">
        <v>176140</v>
      </c>
      <c r="P4" s="2">
        <v>176140</v>
      </c>
      <c r="Q4" s="2" t="s">
        <v>263</v>
      </c>
    </row>
    <row r="5" spans="1:17" x14ac:dyDescent="0.55000000000000004">
      <c r="A5" s="2" t="s">
        <v>511</v>
      </c>
      <c r="B5" s="2">
        <v>2</v>
      </c>
      <c r="C5" s="2">
        <v>344000</v>
      </c>
      <c r="D5" s="2">
        <v>181677</v>
      </c>
      <c r="E5" s="1">
        <v>161.50299999999999</v>
      </c>
      <c r="F5" s="1">
        <v>10330</v>
      </c>
      <c r="G5" s="1" t="s">
        <v>57</v>
      </c>
      <c r="H5" s="2">
        <v>186</v>
      </c>
      <c r="I5" s="2">
        <v>12663</v>
      </c>
      <c r="J5" s="2">
        <v>28</v>
      </c>
      <c r="K5" s="2">
        <v>2585</v>
      </c>
      <c r="L5" s="2">
        <v>21</v>
      </c>
      <c r="M5" s="2">
        <v>1994.7</v>
      </c>
      <c r="N5" s="2">
        <v>431</v>
      </c>
      <c r="O5" s="2">
        <v>114715</v>
      </c>
      <c r="P5" s="2">
        <v>114715</v>
      </c>
      <c r="Q5" s="2" t="s">
        <v>392</v>
      </c>
    </row>
    <row r="6" spans="1:17" x14ac:dyDescent="0.55000000000000004">
      <c r="A6" s="2" t="s">
        <v>167</v>
      </c>
      <c r="B6" s="2">
        <v>8</v>
      </c>
      <c r="C6" s="2">
        <v>443000</v>
      </c>
      <c r="D6" s="2">
        <v>162066</v>
      </c>
      <c r="E6" s="1">
        <v>271.358</v>
      </c>
      <c r="F6" s="1">
        <v>7790</v>
      </c>
      <c r="G6" s="1" t="s">
        <v>503</v>
      </c>
      <c r="H6" s="2">
        <v>102</v>
      </c>
      <c r="I6" s="2">
        <v>5317</v>
      </c>
      <c r="J6" s="2">
        <v>31</v>
      </c>
      <c r="K6" s="2">
        <v>1462</v>
      </c>
      <c r="L6" s="2">
        <v>27</v>
      </c>
      <c r="M6" s="2">
        <v>1498.9</v>
      </c>
      <c r="N6" s="2">
        <v>836</v>
      </c>
      <c r="O6" s="2">
        <v>93315</v>
      </c>
      <c r="P6" s="2">
        <v>93315</v>
      </c>
      <c r="Q6" s="2" t="s">
        <v>278</v>
      </c>
    </row>
    <row r="7" spans="1:17" x14ac:dyDescent="0.55000000000000004">
      <c r="A7" s="2" t="s">
        <v>373</v>
      </c>
      <c r="B7" s="2">
        <v>21</v>
      </c>
      <c r="C7" s="2">
        <v>379000</v>
      </c>
      <c r="D7" s="2">
        <v>139237</v>
      </c>
      <c r="L7" s="2">
        <v>19</v>
      </c>
      <c r="M7" s="2">
        <v>763.5</v>
      </c>
      <c r="N7" s="2">
        <v>1364</v>
      </c>
      <c r="O7" s="2">
        <v>60835</v>
      </c>
      <c r="P7" s="2">
        <v>60835</v>
      </c>
      <c r="Q7" s="2" t="s">
        <v>403</v>
      </c>
    </row>
    <row r="8" spans="1:17" x14ac:dyDescent="0.55000000000000004">
      <c r="A8" s="2" t="s">
        <v>23</v>
      </c>
      <c r="B8" s="2">
        <v>46</v>
      </c>
      <c r="C8" s="2">
        <v>256000</v>
      </c>
      <c r="D8" s="2">
        <v>117811</v>
      </c>
      <c r="L8" s="2">
        <v>25</v>
      </c>
      <c r="M8" s="2">
        <v>254.4</v>
      </c>
      <c r="N8" s="2">
        <v>1861</v>
      </c>
      <c r="O8" s="2">
        <v>34250</v>
      </c>
      <c r="P8" s="2">
        <v>34250</v>
      </c>
      <c r="Q8" s="2" t="s">
        <v>304</v>
      </c>
    </row>
    <row r="9" spans="1:17" x14ac:dyDescent="0.55000000000000004">
      <c r="A9" s="2" t="s">
        <v>199</v>
      </c>
      <c r="B9" s="2">
        <v>103</v>
      </c>
      <c r="C9" s="2">
        <v>189000</v>
      </c>
      <c r="D9" s="2">
        <v>80294</v>
      </c>
      <c r="L9" s="2">
        <v>9</v>
      </c>
      <c r="M9" s="2">
        <v>46.7</v>
      </c>
      <c r="N9" s="2">
        <v>1797</v>
      </c>
      <c r="O9" s="2">
        <v>12990</v>
      </c>
      <c r="P9" s="2">
        <v>12990</v>
      </c>
      <c r="Q9" s="2" t="s">
        <v>12</v>
      </c>
    </row>
    <row r="10" spans="1:17" x14ac:dyDescent="0.55000000000000004">
      <c r="A10" s="2" t="s">
        <v>166</v>
      </c>
      <c r="B10" s="2">
        <v>254</v>
      </c>
      <c r="C10" s="2">
        <v>136000</v>
      </c>
      <c r="D10" s="2">
        <v>48426</v>
      </c>
    </row>
    <row r="11" spans="1:17" x14ac:dyDescent="0.55000000000000004">
      <c r="A11" s="2" t="s">
        <v>372</v>
      </c>
      <c r="B11" s="2">
        <v>371</v>
      </c>
      <c r="C11" s="2">
        <v>57000</v>
      </c>
      <c r="D11" s="2">
        <v>17303</v>
      </c>
    </row>
    <row r="12" spans="1:17" x14ac:dyDescent="0.55000000000000004">
      <c r="A12" s="2" t="s">
        <v>227</v>
      </c>
      <c r="B12" s="2">
        <v>212</v>
      </c>
      <c r="C12" s="2">
        <v>12000</v>
      </c>
      <c r="D12" s="2">
        <v>2770</v>
      </c>
    </row>
  </sheetData>
  <printOptions gridLines="1"/>
  <pageMargins left="0.75" right="0.75" top="1" bottom="1" header="3.5112572660191487E-96" footer="7.3648498454181696E-298"/>
  <headerFooter>
    <oddHeader>&amp;C&amp;A</oddHeader>
    <oddFooter>&amp;CPage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99"/>
  <sheetViews>
    <sheetView workbookViewId="0"/>
  </sheetViews>
  <sheetFormatPr defaultColWidth="9.44140625" defaultRowHeight="14.4" x14ac:dyDescent="0.55000000000000004"/>
  <cols>
    <col min="1" max="1" width="9.27734375" style="1" bestFit="1" customWidth="1"/>
    <col min="2" max="2" width="4.109375" style="1" bestFit="1" customWidth="1"/>
    <col min="3" max="3" width="15.27734375" style="2" bestFit="1" customWidth="1"/>
    <col min="4" max="4" width="13.109375" style="2" bestFit="1" customWidth="1"/>
    <col min="5" max="5" width="9.0546875" style="2" bestFit="1" customWidth="1"/>
    <col min="6" max="6" width="9.71875" style="2" bestFit="1" customWidth="1"/>
    <col min="7" max="7" width="9.33203125" style="2" bestFit="1" customWidth="1"/>
    <col min="8" max="8" width="9.109375" style="2" bestFit="1" customWidth="1"/>
    <col min="9" max="9" width="10.5546875" style="2" bestFit="1" customWidth="1"/>
    <col min="10" max="10" width="5" style="2" bestFit="1" customWidth="1"/>
    <col min="11" max="11" width="9.88671875" style="2" bestFit="1" customWidth="1"/>
    <col min="12" max="12" width="6.77734375" style="2" bestFit="1" customWidth="1"/>
    <col min="13" max="13" width="12.83203125" style="2" bestFit="1" customWidth="1"/>
    <col min="14" max="14" width="7.5" style="2" bestFit="1" customWidth="1"/>
    <col min="15" max="15" width="10.0546875" style="2" bestFit="1" customWidth="1"/>
    <col min="16" max="16" width="3.71875" style="2" bestFit="1" customWidth="1"/>
    <col min="17" max="16384" width="9.44140625" style="2"/>
  </cols>
  <sheetData>
    <row r="1" spans="1:16" x14ac:dyDescent="0.55000000000000004">
      <c r="A1" s="1" t="s">
        <v>240</v>
      </c>
      <c r="B1" s="1" t="s">
        <v>126</v>
      </c>
      <c r="C1" s="2" t="s">
        <v>472</v>
      </c>
      <c r="D1" s="1" t="s">
        <v>49</v>
      </c>
      <c r="E1" s="1" t="s">
        <v>414</v>
      </c>
      <c r="F1" s="1" t="s">
        <v>495</v>
      </c>
      <c r="G1" s="1" t="s">
        <v>350</v>
      </c>
      <c r="H1" s="1" t="s">
        <v>74</v>
      </c>
      <c r="I1" s="1" t="s">
        <v>314</v>
      </c>
      <c r="J1" s="2" t="s">
        <v>369</v>
      </c>
      <c r="K1" s="2" t="s">
        <v>522</v>
      </c>
      <c r="L1" s="2" t="s">
        <v>523</v>
      </c>
      <c r="M1" s="2" t="s">
        <v>101</v>
      </c>
      <c r="N1" s="2" t="s">
        <v>528</v>
      </c>
      <c r="O1" s="2" t="s">
        <v>529</v>
      </c>
      <c r="P1" s="2" t="s">
        <v>203</v>
      </c>
    </row>
    <row r="2" spans="1:16" x14ac:dyDescent="0.55000000000000004">
      <c r="A2" s="1">
        <v>299.85000000000002</v>
      </c>
      <c r="B2" s="1">
        <v>0.1</v>
      </c>
      <c r="C2" s="2">
        <v>-1</v>
      </c>
      <c r="D2" s="1">
        <v>2</v>
      </c>
      <c r="E2" s="1">
        <v>3</v>
      </c>
      <c r="F2" s="1">
        <v>5</v>
      </c>
      <c r="G2" s="1">
        <v>1</v>
      </c>
      <c r="H2" s="1">
        <v>2</v>
      </c>
      <c r="I2" s="8">
        <v>35490</v>
      </c>
      <c r="J2" s="2">
        <v>0</v>
      </c>
      <c r="K2" s="2">
        <v>0.08</v>
      </c>
      <c r="L2" s="2">
        <v>1</v>
      </c>
      <c r="M2" s="2" t="s">
        <v>521</v>
      </c>
      <c r="N2" s="2">
        <v>12.983599999999999</v>
      </c>
      <c r="O2" s="2">
        <v>13.23</v>
      </c>
      <c r="P2" s="2" t="s">
        <v>526</v>
      </c>
    </row>
    <row r="3" spans="1:16" x14ac:dyDescent="0.55000000000000004">
      <c r="A3" s="1">
        <v>299.74</v>
      </c>
      <c r="B3" s="1">
        <v>0.1</v>
      </c>
      <c r="C3" s="2">
        <v>-1</v>
      </c>
      <c r="D3" s="1">
        <v>1</v>
      </c>
      <c r="E3" s="1">
        <v>3</v>
      </c>
      <c r="F3" s="1">
        <v>4</v>
      </c>
      <c r="G3" s="1">
        <v>2</v>
      </c>
      <c r="H3" s="1">
        <v>1</v>
      </c>
      <c r="I3" s="8">
        <v>35552</v>
      </c>
      <c r="J3" s="2">
        <v>0</v>
      </c>
      <c r="K3" s="2">
        <v>0.08</v>
      </c>
      <c r="L3" s="2">
        <v>2</v>
      </c>
      <c r="M3" s="2" t="s">
        <v>521</v>
      </c>
      <c r="N3" s="2">
        <v>16.604399999999998</v>
      </c>
      <c r="O3" s="2">
        <v>13.45</v>
      </c>
      <c r="P3" s="2" t="s">
        <v>526</v>
      </c>
    </row>
    <row r="4" spans="1:16" x14ac:dyDescent="0.55000000000000004">
      <c r="A4" s="1">
        <v>299.89999999999998</v>
      </c>
      <c r="B4" s="1">
        <v>0.1</v>
      </c>
      <c r="C4" s="2">
        <v>-1</v>
      </c>
      <c r="D4" s="1">
        <v>2</v>
      </c>
      <c r="E4" s="1">
        <v>5</v>
      </c>
      <c r="F4" s="1">
        <v>1</v>
      </c>
      <c r="G4" s="1">
        <v>3</v>
      </c>
      <c r="H4" s="1">
        <v>1</v>
      </c>
      <c r="I4" s="8">
        <v>35411</v>
      </c>
      <c r="J4" s="2">
        <v>0</v>
      </c>
      <c r="K4" s="2">
        <v>0.08</v>
      </c>
      <c r="L4" s="2">
        <v>3</v>
      </c>
      <c r="M4" s="2" t="s">
        <v>521</v>
      </c>
      <c r="N4" s="2">
        <v>16.357099999999999</v>
      </c>
      <c r="O4" s="2">
        <v>13.95</v>
      </c>
      <c r="P4" s="2" t="s">
        <v>526</v>
      </c>
    </row>
    <row r="5" spans="1:16" x14ac:dyDescent="0.55000000000000004">
      <c r="A5" s="1">
        <v>300.07</v>
      </c>
      <c r="B5" s="1">
        <v>0.2</v>
      </c>
      <c r="C5" s="2">
        <v>-0.69897000433601897</v>
      </c>
      <c r="D5" s="1">
        <v>3</v>
      </c>
      <c r="E5" s="1">
        <v>3</v>
      </c>
      <c r="F5" s="1">
        <v>1</v>
      </c>
      <c r="G5" s="1">
        <v>4</v>
      </c>
      <c r="H5" s="1">
        <v>0</v>
      </c>
      <c r="I5" s="8">
        <v>35370</v>
      </c>
      <c r="J5" s="2">
        <v>0</v>
      </c>
      <c r="K5" s="2">
        <v>0.08</v>
      </c>
      <c r="L5" s="2">
        <v>4</v>
      </c>
      <c r="M5" s="2" t="s">
        <v>521</v>
      </c>
      <c r="N5" s="2">
        <v>19.361799999999999</v>
      </c>
      <c r="O5" s="2">
        <v>13.66</v>
      </c>
      <c r="P5" s="2" t="s">
        <v>527</v>
      </c>
    </row>
    <row r="6" spans="1:16" x14ac:dyDescent="0.55000000000000004">
      <c r="A6" s="1">
        <v>299.93</v>
      </c>
      <c r="B6" s="1">
        <v>0.2</v>
      </c>
      <c r="C6" s="2">
        <v>-0.69897000433601897</v>
      </c>
      <c r="D6" s="1">
        <v>5</v>
      </c>
      <c r="E6" s="1">
        <v>5</v>
      </c>
      <c r="F6" s="1">
        <v>3</v>
      </c>
      <c r="G6" s="1">
        <v>1</v>
      </c>
      <c r="H6" s="1">
        <v>2</v>
      </c>
      <c r="I6" s="8">
        <v>35433</v>
      </c>
      <c r="J6" s="2">
        <v>0</v>
      </c>
      <c r="K6" s="2">
        <v>0.08</v>
      </c>
      <c r="L6" s="2">
        <v>5</v>
      </c>
      <c r="M6" s="2" t="s">
        <v>521</v>
      </c>
      <c r="N6" s="2">
        <v>19.986499999999999</v>
      </c>
      <c r="O6" s="2">
        <v>13.37</v>
      </c>
      <c r="P6" s="2" t="s">
        <v>526</v>
      </c>
    </row>
    <row r="7" spans="1:16" x14ac:dyDescent="0.55000000000000004">
      <c r="A7" s="1">
        <v>299.85000000000002</v>
      </c>
      <c r="B7" s="1">
        <v>0.2</v>
      </c>
      <c r="C7" s="2">
        <v>-0.69897000433601897</v>
      </c>
      <c r="D7" s="1"/>
      <c r="E7" s="1">
        <v>5</v>
      </c>
      <c r="F7" s="1">
        <v>4</v>
      </c>
      <c r="G7" s="1">
        <v>3</v>
      </c>
      <c r="H7" s="1">
        <v>1</v>
      </c>
      <c r="I7" s="8">
        <v>35555</v>
      </c>
      <c r="J7" s="2">
        <v>0</v>
      </c>
      <c r="K7" s="2">
        <v>0.08</v>
      </c>
      <c r="L7" s="2">
        <v>6</v>
      </c>
      <c r="M7" s="2" t="s">
        <v>521</v>
      </c>
      <c r="N7" s="2">
        <v>23.9573</v>
      </c>
      <c r="O7" s="2">
        <v>13.91</v>
      </c>
      <c r="P7" s="2" t="s">
        <v>526</v>
      </c>
    </row>
    <row r="8" spans="1:16" x14ac:dyDescent="0.55000000000000004">
      <c r="A8" s="1">
        <v>299.95</v>
      </c>
      <c r="B8" s="1">
        <v>0.2</v>
      </c>
      <c r="C8" s="2">
        <v>-0.69897000433601897</v>
      </c>
      <c r="D8" s="1"/>
      <c r="E8" s="1">
        <v>2</v>
      </c>
      <c r="F8" s="1">
        <v>3</v>
      </c>
      <c r="G8" s="1">
        <v>5</v>
      </c>
      <c r="H8" s="1">
        <v>0</v>
      </c>
      <c r="I8" s="8">
        <v>35649</v>
      </c>
      <c r="J8" s="2">
        <v>0</v>
      </c>
      <c r="K8" s="2">
        <v>0.08</v>
      </c>
      <c r="L8" s="2">
        <v>7</v>
      </c>
      <c r="M8" s="2" t="s">
        <v>521</v>
      </c>
      <c r="N8" s="2">
        <v>25.6782</v>
      </c>
      <c r="O8" s="2">
        <v>13.27</v>
      </c>
      <c r="P8" s="2" t="s">
        <v>526</v>
      </c>
    </row>
    <row r="9" spans="1:16" x14ac:dyDescent="0.55000000000000004">
      <c r="A9" s="1">
        <v>299.98</v>
      </c>
      <c r="B9" s="1">
        <v>0.2</v>
      </c>
      <c r="C9" s="2">
        <v>-0.69897000433601897</v>
      </c>
      <c r="D9" s="1"/>
      <c r="E9" s="1">
        <v>4</v>
      </c>
      <c r="F9" s="1">
        <v>1</v>
      </c>
      <c r="G9" s="1">
        <v>5</v>
      </c>
      <c r="H9" s="1">
        <v>2</v>
      </c>
      <c r="I9" s="8">
        <v>35346</v>
      </c>
      <c r="J9" s="2">
        <v>0</v>
      </c>
      <c r="K9" s="2">
        <v>0.08</v>
      </c>
      <c r="L9" s="2">
        <v>8</v>
      </c>
      <c r="M9" s="2" t="s">
        <v>521</v>
      </c>
      <c r="N9" s="2">
        <v>18.112200000000001</v>
      </c>
      <c r="O9" s="2">
        <v>13.39</v>
      </c>
      <c r="P9" s="2" t="s">
        <v>526</v>
      </c>
    </row>
    <row r="10" spans="1:16" x14ac:dyDescent="0.55000000000000004">
      <c r="A10" s="1">
        <v>299.98</v>
      </c>
      <c r="B10" s="1">
        <v>0.2</v>
      </c>
      <c r="C10" s="2">
        <v>-0.69897000433601897</v>
      </c>
      <c r="D10" s="1"/>
      <c r="E10" s="1">
        <v>3</v>
      </c>
      <c r="F10" s="1">
        <v>5</v>
      </c>
      <c r="G10" s="1">
        <v>1</v>
      </c>
      <c r="H10" s="1">
        <v>3</v>
      </c>
      <c r="J10" s="2">
        <v>0</v>
      </c>
      <c r="K10" s="2">
        <v>0.08</v>
      </c>
      <c r="L10" s="2">
        <v>9</v>
      </c>
      <c r="M10" s="2" t="s">
        <v>521</v>
      </c>
      <c r="N10" s="2">
        <v>18.5931</v>
      </c>
      <c r="O10" s="2">
        <v>13.35</v>
      </c>
      <c r="P10" s="2" t="s">
        <v>527</v>
      </c>
    </row>
    <row r="11" spans="1:16" x14ac:dyDescent="0.55000000000000004">
      <c r="A11" s="1">
        <v>299.88</v>
      </c>
      <c r="B11" s="1">
        <v>0.2</v>
      </c>
      <c r="C11" s="2">
        <v>-0.69897000433601897</v>
      </c>
      <c r="D11" s="1"/>
      <c r="E11" s="1">
        <v>1</v>
      </c>
      <c r="F11" s="1">
        <v>3</v>
      </c>
      <c r="G11" s="1">
        <v>5</v>
      </c>
      <c r="H11" s="1">
        <v>1</v>
      </c>
      <c r="J11" s="2">
        <v>0</v>
      </c>
      <c r="K11" s="2">
        <v>0.08</v>
      </c>
      <c r="L11" s="2">
        <v>10</v>
      </c>
      <c r="M11" s="2" t="s">
        <v>524</v>
      </c>
      <c r="N11" s="2">
        <v>31.878699999999998</v>
      </c>
      <c r="O11" s="2">
        <v>13.72</v>
      </c>
      <c r="P11" s="2" t="s">
        <v>527</v>
      </c>
    </row>
    <row r="12" spans="1:16" x14ac:dyDescent="0.55000000000000004">
      <c r="A12" s="1">
        <v>300</v>
      </c>
      <c r="B12" s="1">
        <v>0.3</v>
      </c>
      <c r="C12" s="2">
        <v>-0.52287874528033795</v>
      </c>
      <c r="D12" s="1"/>
      <c r="E12" s="1"/>
      <c r="F12" s="1"/>
      <c r="G12" s="1"/>
      <c r="H12" s="1">
        <v>0</v>
      </c>
      <c r="J12" s="2">
        <v>0</v>
      </c>
      <c r="K12" s="2">
        <v>0.08</v>
      </c>
      <c r="L12" s="2">
        <v>11</v>
      </c>
      <c r="M12" s="2" t="s">
        <v>524</v>
      </c>
      <c r="N12" s="2">
        <v>18.554400000000001</v>
      </c>
      <c r="O12" s="2">
        <v>13.95</v>
      </c>
      <c r="P12" s="2" t="s">
        <v>527</v>
      </c>
    </row>
    <row r="13" spans="1:16" x14ac:dyDescent="0.55000000000000004">
      <c r="A13" s="1">
        <v>299.98</v>
      </c>
      <c r="B13" s="1">
        <v>0.3</v>
      </c>
      <c r="C13" s="2">
        <v>-0.52287874528033795</v>
      </c>
      <c r="D13" s="1"/>
      <c r="E13" s="1"/>
      <c r="F13" s="1"/>
      <c r="G13" s="1"/>
      <c r="H13" s="1">
        <v>1</v>
      </c>
      <c r="J13" s="2">
        <v>0</v>
      </c>
      <c r="K13" s="2">
        <v>0.08</v>
      </c>
      <c r="L13" s="2">
        <v>12</v>
      </c>
      <c r="M13" s="2" t="s">
        <v>524</v>
      </c>
      <c r="N13" s="2">
        <v>21.751899999999999</v>
      </c>
      <c r="O13" s="2">
        <v>13.67</v>
      </c>
      <c r="P13" s="2" t="s">
        <v>526</v>
      </c>
    </row>
    <row r="14" spans="1:16" x14ac:dyDescent="0.55000000000000004">
      <c r="A14" s="1">
        <v>299.93</v>
      </c>
      <c r="B14" s="1">
        <v>0.3</v>
      </c>
      <c r="C14" s="2">
        <v>-0.52287874528033795</v>
      </c>
      <c r="D14" s="1"/>
      <c r="E14" s="1"/>
      <c r="F14" s="1"/>
      <c r="G14" s="1"/>
      <c r="H14" s="1">
        <v>2</v>
      </c>
      <c r="J14" s="2">
        <v>0</v>
      </c>
      <c r="K14" s="2">
        <v>0.08</v>
      </c>
      <c r="L14" s="2">
        <v>13</v>
      </c>
      <c r="M14" s="2" t="s">
        <v>524</v>
      </c>
    </row>
    <row r="15" spans="1:16" x14ac:dyDescent="0.55000000000000004">
      <c r="A15" s="1">
        <v>299.64999999999998</v>
      </c>
      <c r="B15" s="1">
        <v>0.3</v>
      </c>
      <c r="C15" s="2">
        <v>-0.52287874528033795</v>
      </c>
      <c r="D15" s="1"/>
      <c r="E15" s="1"/>
      <c r="F15" s="1"/>
      <c r="G15" s="1"/>
      <c r="H15" s="1">
        <v>2</v>
      </c>
      <c r="J15" s="2">
        <v>0</v>
      </c>
      <c r="K15" s="2">
        <v>0.08</v>
      </c>
      <c r="L15" s="2">
        <v>14</v>
      </c>
      <c r="M15" s="2" t="s">
        <v>524</v>
      </c>
    </row>
    <row r="16" spans="1:16" x14ac:dyDescent="0.55000000000000004">
      <c r="A16" s="1">
        <v>299.76</v>
      </c>
      <c r="B16" s="1">
        <v>0.3</v>
      </c>
      <c r="C16" s="2">
        <v>-0.52287874528033795</v>
      </c>
      <c r="D16" s="1"/>
      <c r="E16" s="1"/>
      <c r="F16" s="1"/>
      <c r="G16" s="1"/>
      <c r="H16" s="1">
        <v>1</v>
      </c>
      <c r="J16" s="2">
        <v>15</v>
      </c>
      <c r="K16" s="2">
        <v>13.15</v>
      </c>
      <c r="L16" s="2">
        <v>1</v>
      </c>
      <c r="M16" s="2" t="s">
        <v>521</v>
      </c>
    </row>
    <row r="17" spans="1:13" x14ac:dyDescent="0.55000000000000004">
      <c r="A17" s="1">
        <v>299.81</v>
      </c>
      <c r="B17" s="1">
        <v>0.3</v>
      </c>
      <c r="C17" s="2">
        <v>-0.52287874528033795</v>
      </c>
      <c r="D17" s="1"/>
      <c r="E17" s="1"/>
      <c r="F17" s="1"/>
      <c r="G17" s="1"/>
      <c r="H17" s="1">
        <v>0</v>
      </c>
      <c r="J17" s="2">
        <v>15</v>
      </c>
      <c r="K17" s="2">
        <v>0.08</v>
      </c>
      <c r="L17" s="2">
        <v>2</v>
      </c>
      <c r="M17" s="2" t="s">
        <v>521</v>
      </c>
    </row>
    <row r="18" spans="1:13" x14ac:dyDescent="0.55000000000000004">
      <c r="A18" s="1">
        <v>300</v>
      </c>
      <c r="B18" s="1">
        <v>0.3</v>
      </c>
      <c r="C18" s="2">
        <v>-0.52287874528033795</v>
      </c>
      <c r="D18" s="1"/>
      <c r="E18" s="1"/>
      <c r="F18" s="1"/>
      <c r="G18" s="1"/>
      <c r="H18" s="1">
        <v>0</v>
      </c>
      <c r="J18" s="2">
        <v>15</v>
      </c>
      <c r="K18" s="2">
        <v>0.08</v>
      </c>
      <c r="L18" s="2">
        <v>3</v>
      </c>
      <c r="M18" s="2" t="s">
        <v>521</v>
      </c>
    </row>
    <row r="19" spans="1:13" x14ac:dyDescent="0.55000000000000004">
      <c r="A19" s="1">
        <v>300</v>
      </c>
      <c r="B19" s="1">
        <v>0.3</v>
      </c>
      <c r="C19" s="2">
        <v>-0.52287874528033795</v>
      </c>
      <c r="D19" s="1"/>
      <c r="E19" s="1"/>
      <c r="F19" s="1"/>
      <c r="G19" s="1"/>
      <c r="H19" s="1">
        <v>1</v>
      </c>
      <c r="J19" s="2">
        <v>15</v>
      </c>
      <c r="K19" s="2">
        <v>0.08</v>
      </c>
      <c r="L19" s="2">
        <v>4</v>
      </c>
      <c r="M19" s="2" t="s">
        <v>521</v>
      </c>
    </row>
    <row r="20" spans="1:13" x14ac:dyDescent="0.55000000000000004">
      <c r="A20" s="1">
        <v>299.95999999999998</v>
      </c>
      <c r="B20" s="1">
        <v>0.3</v>
      </c>
      <c r="C20" s="2">
        <v>-0.52287874528033795</v>
      </c>
      <c r="D20" s="1"/>
      <c r="E20" s="1"/>
      <c r="F20" s="1"/>
      <c r="G20" s="1"/>
      <c r="H20" s="1">
        <v>1</v>
      </c>
      <c r="J20" s="2">
        <v>15</v>
      </c>
      <c r="K20" s="2">
        <v>6.69</v>
      </c>
      <c r="L20" s="2">
        <v>5</v>
      </c>
      <c r="M20" s="2" t="s">
        <v>521</v>
      </c>
    </row>
    <row r="21" spans="1:13" x14ac:dyDescent="0.55000000000000004">
      <c r="A21" s="1">
        <v>299.95999999999998</v>
      </c>
      <c r="B21" s="1">
        <v>0.3</v>
      </c>
      <c r="C21" s="2">
        <v>-0.52287874528033795</v>
      </c>
      <c r="D21" s="1"/>
      <c r="E21" s="1"/>
      <c r="F21" s="1"/>
      <c r="G21" s="1"/>
      <c r="H21" s="1">
        <v>2</v>
      </c>
      <c r="J21" s="2">
        <v>15</v>
      </c>
      <c r="K21" s="2">
        <v>4.28</v>
      </c>
      <c r="L21" s="2">
        <v>6</v>
      </c>
      <c r="M21" s="2" t="s">
        <v>521</v>
      </c>
    </row>
    <row r="22" spans="1:13" x14ac:dyDescent="0.55000000000000004">
      <c r="A22" s="1">
        <v>299.95999999999998</v>
      </c>
      <c r="B22" s="1">
        <v>0.3</v>
      </c>
      <c r="C22" s="2">
        <v>-0.52287874528033795</v>
      </c>
      <c r="D22" s="1"/>
      <c r="E22" s="1"/>
      <c r="F22" s="1"/>
      <c r="G22" s="1"/>
      <c r="H22" s="1">
        <v>2</v>
      </c>
      <c r="J22" s="2">
        <v>15</v>
      </c>
      <c r="K22" s="2">
        <v>0.13</v>
      </c>
      <c r="L22" s="2">
        <v>7</v>
      </c>
      <c r="M22" s="2" t="s">
        <v>521</v>
      </c>
    </row>
    <row r="23" spans="1:13" x14ac:dyDescent="0.55000000000000004">
      <c r="A23" s="1">
        <v>299.94</v>
      </c>
      <c r="B23" s="1">
        <v>0.3</v>
      </c>
      <c r="C23" s="2">
        <v>-0.52287874528033795</v>
      </c>
      <c r="D23" s="1"/>
      <c r="E23" s="1"/>
      <c r="F23" s="1"/>
      <c r="G23" s="1"/>
      <c r="H23" s="1">
        <v>1</v>
      </c>
      <c r="J23" s="2">
        <v>15</v>
      </c>
      <c r="K23" s="2">
        <v>0.64</v>
      </c>
      <c r="L23" s="2">
        <v>8</v>
      </c>
      <c r="M23" s="2" t="s">
        <v>521</v>
      </c>
    </row>
    <row r="24" spans="1:13" x14ac:dyDescent="0.55000000000000004">
      <c r="A24" s="1">
        <v>299.95999999999998</v>
      </c>
      <c r="B24" s="1">
        <v>0.3</v>
      </c>
      <c r="C24" s="2">
        <v>-0.52287874528033795</v>
      </c>
      <c r="D24" s="1"/>
      <c r="E24" s="1"/>
      <c r="F24" s="1"/>
      <c r="G24" s="1"/>
      <c r="H24" s="1">
        <v>1</v>
      </c>
      <c r="J24" s="2">
        <v>15</v>
      </c>
      <c r="K24" s="2">
        <v>2.39</v>
      </c>
      <c r="L24" s="2">
        <v>9</v>
      </c>
      <c r="M24" s="2" t="s">
        <v>521</v>
      </c>
    </row>
    <row r="25" spans="1:13" x14ac:dyDescent="0.55000000000000004">
      <c r="A25" s="1">
        <v>299.94</v>
      </c>
      <c r="B25" s="1">
        <v>0.3</v>
      </c>
      <c r="C25" s="2">
        <v>-0.52287874528033795</v>
      </c>
      <c r="J25" s="2">
        <v>15</v>
      </c>
      <c r="K25" s="2">
        <v>3.72</v>
      </c>
      <c r="L25" s="2">
        <v>10</v>
      </c>
      <c r="M25" s="2" t="s">
        <v>524</v>
      </c>
    </row>
    <row r="26" spans="1:13" x14ac:dyDescent="0.55000000000000004">
      <c r="A26" s="1">
        <v>299.88</v>
      </c>
      <c r="B26" s="1">
        <v>0.3</v>
      </c>
      <c r="C26" s="2">
        <v>-0.52287874528033795</v>
      </c>
      <c r="J26" s="2">
        <v>15</v>
      </c>
      <c r="K26" s="2">
        <v>6.72</v>
      </c>
      <c r="L26" s="2">
        <v>11</v>
      </c>
      <c r="M26" s="2" t="s">
        <v>524</v>
      </c>
    </row>
    <row r="27" spans="1:13" x14ac:dyDescent="0.55000000000000004">
      <c r="A27" s="1">
        <v>299.8</v>
      </c>
      <c r="B27" s="1">
        <v>0.3</v>
      </c>
      <c r="C27" s="2">
        <v>-0.52287874528033795</v>
      </c>
      <c r="J27" s="2">
        <v>15</v>
      </c>
      <c r="K27" s="2">
        <v>9.98</v>
      </c>
      <c r="L27" s="2">
        <v>12</v>
      </c>
      <c r="M27" s="2" t="s">
        <v>524</v>
      </c>
    </row>
    <row r="28" spans="1:13" x14ac:dyDescent="0.55000000000000004">
      <c r="A28" s="1">
        <v>299.85000000000002</v>
      </c>
      <c r="B28" s="1">
        <v>0.3</v>
      </c>
      <c r="C28" s="2">
        <v>-0.52287874528033795</v>
      </c>
      <c r="J28" s="2">
        <v>15</v>
      </c>
      <c r="K28" s="2">
        <v>1.1200000000000001</v>
      </c>
      <c r="L28" s="2">
        <v>13</v>
      </c>
      <c r="M28" s="2" t="s">
        <v>524</v>
      </c>
    </row>
    <row r="29" spans="1:13" x14ac:dyDescent="0.55000000000000004">
      <c r="A29" s="1">
        <v>299.88</v>
      </c>
      <c r="B29" s="1">
        <v>0.3</v>
      </c>
      <c r="C29" s="2">
        <v>-0.52287874528033795</v>
      </c>
      <c r="J29" s="2">
        <v>15</v>
      </c>
      <c r="K29" s="2">
        <v>13.37</v>
      </c>
      <c r="L29" s="2">
        <v>14</v>
      </c>
      <c r="M29" s="2" t="s">
        <v>524</v>
      </c>
    </row>
    <row r="30" spans="1:13" x14ac:dyDescent="0.55000000000000004">
      <c r="A30" s="1">
        <v>299.89999999999998</v>
      </c>
      <c r="B30" s="1">
        <v>0.3</v>
      </c>
      <c r="C30" s="2">
        <v>-0.52287874528033795</v>
      </c>
      <c r="J30" s="2">
        <v>30</v>
      </c>
      <c r="K30" s="2">
        <v>5.7</v>
      </c>
      <c r="L30" s="2">
        <v>1</v>
      </c>
      <c r="M30" s="2" t="s">
        <v>521</v>
      </c>
    </row>
    <row r="31" spans="1:13" x14ac:dyDescent="0.55000000000000004">
      <c r="A31" s="1">
        <v>299.83999999999997</v>
      </c>
      <c r="B31" s="1">
        <v>0.4</v>
      </c>
      <c r="C31" s="2">
        <v>-0.39794000867203799</v>
      </c>
      <c r="J31" s="2">
        <v>30</v>
      </c>
      <c r="K31" s="2">
        <v>0.14000000000000001</v>
      </c>
      <c r="L31" s="2">
        <v>2</v>
      </c>
      <c r="M31" s="2" t="s">
        <v>521</v>
      </c>
    </row>
    <row r="32" spans="1:13" x14ac:dyDescent="0.55000000000000004">
      <c r="A32" s="1">
        <v>299.83</v>
      </c>
      <c r="B32" s="1">
        <v>0.4</v>
      </c>
      <c r="C32" s="2">
        <v>-0.39794000867203799</v>
      </c>
      <c r="J32" s="2">
        <v>30</v>
      </c>
      <c r="K32" s="2">
        <v>3.29</v>
      </c>
      <c r="L32" s="2">
        <v>3</v>
      </c>
      <c r="M32" s="2" t="s">
        <v>521</v>
      </c>
    </row>
    <row r="33" spans="1:13" x14ac:dyDescent="0.55000000000000004">
      <c r="A33" s="1">
        <v>299.79000000000002</v>
      </c>
      <c r="B33" s="1">
        <v>0.4</v>
      </c>
      <c r="C33" s="2">
        <v>-0.39794000867203799</v>
      </c>
      <c r="J33" s="2">
        <v>30</v>
      </c>
      <c r="K33" s="2">
        <v>1.33</v>
      </c>
      <c r="L33" s="2">
        <v>4</v>
      </c>
      <c r="M33" s="2" t="s">
        <v>521</v>
      </c>
    </row>
    <row r="34" spans="1:13" x14ac:dyDescent="0.55000000000000004">
      <c r="A34" s="1">
        <v>299.81</v>
      </c>
      <c r="B34" s="1">
        <v>0.4</v>
      </c>
      <c r="C34" s="2">
        <v>-0.39794000867203799</v>
      </c>
      <c r="J34" s="2">
        <v>30</v>
      </c>
      <c r="K34" s="2">
        <v>8.27</v>
      </c>
      <c r="L34" s="2">
        <v>5</v>
      </c>
      <c r="M34" s="2" t="s">
        <v>521</v>
      </c>
    </row>
    <row r="35" spans="1:13" x14ac:dyDescent="0.55000000000000004">
      <c r="A35" s="1">
        <v>299.88</v>
      </c>
      <c r="B35" s="1">
        <v>0.4</v>
      </c>
      <c r="C35" s="2">
        <v>-0.39794000867203799</v>
      </c>
      <c r="J35" s="2">
        <v>30</v>
      </c>
      <c r="K35" s="2">
        <v>4.92</v>
      </c>
      <c r="L35" s="2">
        <v>6</v>
      </c>
      <c r="M35" s="2" t="s">
        <v>521</v>
      </c>
    </row>
    <row r="36" spans="1:13" x14ac:dyDescent="0.55000000000000004">
      <c r="A36" s="1">
        <v>299.88</v>
      </c>
      <c r="B36" s="1">
        <v>0.4</v>
      </c>
      <c r="C36" s="2">
        <v>-0.39794000867203799</v>
      </c>
      <c r="J36" s="2">
        <v>30</v>
      </c>
      <c r="K36" s="2">
        <v>9.2899999999999991</v>
      </c>
      <c r="L36" s="2">
        <v>7</v>
      </c>
      <c r="M36" s="2" t="s">
        <v>521</v>
      </c>
    </row>
    <row r="37" spans="1:13" x14ac:dyDescent="0.55000000000000004">
      <c r="A37" s="1">
        <v>299.83</v>
      </c>
      <c r="B37" s="1">
        <v>0.4</v>
      </c>
      <c r="C37" s="2">
        <v>-0.39794000867203799</v>
      </c>
      <c r="J37" s="2">
        <v>30</v>
      </c>
      <c r="K37" s="2">
        <v>1.19</v>
      </c>
      <c r="L37" s="2">
        <v>8</v>
      </c>
      <c r="M37" s="2" t="s">
        <v>521</v>
      </c>
    </row>
    <row r="38" spans="1:13" x14ac:dyDescent="0.55000000000000004">
      <c r="A38" s="1">
        <v>299.8</v>
      </c>
      <c r="B38" s="1">
        <v>0.4</v>
      </c>
      <c r="C38" s="2">
        <v>-0.39794000867203799</v>
      </c>
      <c r="J38" s="2">
        <v>30</v>
      </c>
      <c r="K38" s="2">
        <v>3.53</v>
      </c>
      <c r="L38" s="2">
        <v>9</v>
      </c>
      <c r="M38" s="2" t="s">
        <v>521</v>
      </c>
    </row>
    <row r="39" spans="1:13" x14ac:dyDescent="0.55000000000000004">
      <c r="A39" s="1">
        <v>299.79000000000002</v>
      </c>
      <c r="B39" s="1">
        <v>0.4</v>
      </c>
      <c r="C39" s="2">
        <v>-0.39794000867203799</v>
      </c>
      <c r="J39" s="2">
        <v>30</v>
      </c>
      <c r="K39" s="2">
        <v>16.02</v>
      </c>
      <c r="L39" s="2">
        <v>10</v>
      </c>
      <c r="M39" s="2" t="s">
        <v>524</v>
      </c>
    </row>
    <row r="40" spans="1:13" x14ac:dyDescent="0.55000000000000004">
      <c r="A40" s="1">
        <v>299.76</v>
      </c>
      <c r="B40" s="1">
        <v>0.4</v>
      </c>
      <c r="C40" s="2">
        <v>-0.39794000867203799</v>
      </c>
      <c r="J40" s="2">
        <v>30</v>
      </c>
      <c r="K40" s="2">
        <v>5.48</v>
      </c>
      <c r="L40" s="2">
        <v>11</v>
      </c>
      <c r="M40" s="2" t="s">
        <v>524</v>
      </c>
    </row>
    <row r="41" spans="1:13" x14ac:dyDescent="0.55000000000000004">
      <c r="A41" s="1">
        <v>299.8</v>
      </c>
      <c r="B41" s="1">
        <v>0.4</v>
      </c>
      <c r="C41" s="2">
        <v>-0.39794000867203799</v>
      </c>
      <c r="J41" s="2">
        <v>30</v>
      </c>
      <c r="K41" s="2">
        <v>7.28</v>
      </c>
      <c r="L41" s="2">
        <v>12</v>
      </c>
      <c r="M41" s="2" t="s">
        <v>524</v>
      </c>
    </row>
    <row r="42" spans="1:13" x14ac:dyDescent="0.55000000000000004">
      <c r="A42" s="1">
        <v>299.88</v>
      </c>
      <c r="B42" s="1">
        <v>0.4</v>
      </c>
      <c r="C42" s="2">
        <v>-0.39794000867203799</v>
      </c>
      <c r="J42" s="2">
        <v>30</v>
      </c>
      <c r="K42" s="2">
        <v>7.27</v>
      </c>
      <c r="L42" s="2">
        <v>13</v>
      </c>
      <c r="M42" s="2" t="s">
        <v>524</v>
      </c>
    </row>
    <row r="43" spans="1:13" x14ac:dyDescent="0.55000000000000004">
      <c r="A43" s="1">
        <v>299.88</v>
      </c>
      <c r="B43" s="1">
        <v>0.4</v>
      </c>
      <c r="C43" s="2">
        <v>-0.39794000867203799</v>
      </c>
      <c r="J43" s="2">
        <v>30</v>
      </c>
      <c r="K43" s="2">
        <v>17.61</v>
      </c>
      <c r="L43" s="2">
        <v>14</v>
      </c>
      <c r="M43" s="2" t="s">
        <v>524</v>
      </c>
    </row>
    <row r="44" spans="1:13" x14ac:dyDescent="0.55000000000000004">
      <c r="A44" s="1">
        <v>299.88</v>
      </c>
      <c r="B44" s="1">
        <v>0.4</v>
      </c>
      <c r="C44" s="2">
        <v>-0.39794000867203799</v>
      </c>
      <c r="J44" s="2">
        <v>45</v>
      </c>
      <c r="K44" s="2">
        <v>3.22</v>
      </c>
      <c r="L44" s="2">
        <v>1</v>
      </c>
      <c r="M44" s="2" t="s">
        <v>521</v>
      </c>
    </row>
    <row r="45" spans="1:13" x14ac:dyDescent="0.55000000000000004">
      <c r="A45" s="1">
        <v>299.86</v>
      </c>
      <c r="B45" s="1">
        <v>0.4</v>
      </c>
      <c r="C45" s="2">
        <v>-0.39794000867203799</v>
      </c>
      <c r="J45" s="2">
        <v>45</v>
      </c>
      <c r="K45" s="2">
        <v>2.1</v>
      </c>
      <c r="L45" s="2">
        <v>2</v>
      </c>
      <c r="M45" s="2" t="s">
        <v>521</v>
      </c>
    </row>
    <row r="46" spans="1:13" x14ac:dyDescent="0.55000000000000004">
      <c r="A46" s="1">
        <v>299.72000000000003</v>
      </c>
      <c r="B46" s="1">
        <v>0.4</v>
      </c>
      <c r="C46" s="2">
        <v>-0.39794000867203799</v>
      </c>
      <c r="J46" s="2">
        <v>45</v>
      </c>
      <c r="K46" s="2">
        <v>3.47</v>
      </c>
      <c r="L46" s="2">
        <v>3</v>
      </c>
      <c r="M46" s="2" t="s">
        <v>521</v>
      </c>
    </row>
    <row r="47" spans="1:13" x14ac:dyDescent="0.55000000000000004">
      <c r="A47" s="1">
        <v>299.72000000000003</v>
      </c>
      <c r="B47" s="1">
        <v>0.4</v>
      </c>
      <c r="C47" s="2">
        <v>-0.39794000867203799</v>
      </c>
      <c r="J47" s="2">
        <v>45</v>
      </c>
      <c r="K47" s="2">
        <v>1.71</v>
      </c>
      <c r="L47" s="2">
        <v>4</v>
      </c>
      <c r="M47" s="2" t="s">
        <v>521</v>
      </c>
    </row>
    <row r="48" spans="1:13" x14ac:dyDescent="0.55000000000000004">
      <c r="A48" s="1">
        <v>299.62</v>
      </c>
      <c r="B48" s="1">
        <v>0.4</v>
      </c>
      <c r="C48" s="2">
        <v>-0.39794000867203799</v>
      </c>
      <c r="J48" s="2">
        <v>45</v>
      </c>
      <c r="K48" s="2">
        <v>5.0199999999999996</v>
      </c>
      <c r="L48" s="2">
        <v>5</v>
      </c>
      <c r="M48" s="2" t="s">
        <v>521</v>
      </c>
    </row>
    <row r="49" spans="1:13" x14ac:dyDescent="0.55000000000000004">
      <c r="A49" s="1">
        <v>299.86</v>
      </c>
      <c r="B49" s="1">
        <v>0.4</v>
      </c>
      <c r="C49" s="2">
        <v>-0.39794000867203799</v>
      </c>
      <c r="J49" s="2">
        <v>45</v>
      </c>
      <c r="K49" s="2">
        <v>1.22</v>
      </c>
      <c r="L49" s="2">
        <v>6</v>
      </c>
      <c r="M49" s="2" t="s">
        <v>521</v>
      </c>
    </row>
    <row r="50" spans="1:13" x14ac:dyDescent="0.55000000000000004">
      <c r="A50" s="1">
        <v>299.97000000000003</v>
      </c>
      <c r="B50" s="1">
        <v>0.4</v>
      </c>
      <c r="C50" s="2">
        <v>-0.39794000867203799</v>
      </c>
      <c r="J50" s="2">
        <v>45</v>
      </c>
      <c r="K50" s="2">
        <v>6.03</v>
      </c>
      <c r="L50" s="2">
        <v>7</v>
      </c>
      <c r="M50" s="2" t="s">
        <v>521</v>
      </c>
    </row>
    <row r="51" spans="1:13" x14ac:dyDescent="0.55000000000000004">
      <c r="A51" s="1">
        <v>299.95</v>
      </c>
      <c r="B51" s="1">
        <v>0.4</v>
      </c>
      <c r="C51" s="2">
        <v>-0.39794000867203799</v>
      </c>
      <c r="J51" s="2">
        <v>45</v>
      </c>
      <c r="K51" s="2">
        <v>1.65</v>
      </c>
      <c r="L51" s="2">
        <v>8</v>
      </c>
      <c r="M51" s="2" t="s">
        <v>521</v>
      </c>
    </row>
    <row r="52" spans="1:13" x14ac:dyDescent="0.55000000000000004">
      <c r="A52" s="1">
        <v>299.88</v>
      </c>
      <c r="B52" s="1">
        <v>0.4</v>
      </c>
      <c r="C52" s="2">
        <v>-0.39794000867203799</v>
      </c>
      <c r="J52" s="2">
        <v>45</v>
      </c>
      <c r="K52" s="2">
        <v>6.28</v>
      </c>
      <c r="L52" s="2">
        <v>9</v>
      </c>
      <c r="M52" s="2" t="s">
        <v>521</v>
      </c>
    </row>
    <row r="53" spans="1:13" x14ac:dyDescent="0.55000000000000004">
      <c r="A53" s="1">
        <v>299.91000000000003</v>
      </c>
      <c r="B53" s="1">
        <v>0.4</v>
      </c>
      <c r="C53" s="2">
        <v>-0.39794000867203799</v>
      </c>
      <c r="J53" s="2">
        <v>45</v>
      </c>
      <c r="K53" s="2">
        <v>8.17</v>
      </c>
      <c r="L53" s="2">
        <v>10</v>
      </c>
      <c r="M53" s="2" t="s">
        <v>524</v>
      </c>
    </row>
    <row r="54" spans="1:13" x14ac:dyDescent="0.55000000000000004">
      <c r="A54" s="1">
        <v>299.85000000000002</v>
      </c>
      <c r="B54" s="1">
        <v>0.4</v>
      </c>
      <c r="C54" s="2">
        <v>-0.39794000867203799</v>
      </c>
      <c r="J54" s="2">
        <v>45</v>
      </c>
      <c r="K54" s="2">
        <v>4.84</v>
      </c>
      <c r="L54" s="2">
        <v>11</v>
      </c>
      <c r="M54" s="2" t="s">
        <v>524</v>
      </c>
    </row>
    <row r="55" spans="1:13" x14ac:dyDescent="0.55000000000000004">
      <c r="A55" s="1">
        <v>299.87</v>
      </c>
      <c r="B55" s="1">
        <v>0.4</v>
      </c>
      <c r="C55" s="2">
        <v>-0.39794000867203799</v>
      </c>
      <c r="J55" s="2">
        <v>45</v>
      </c>
      <c r="K55" s="2">
        <v>3.46</v>
      </c>
      <c r="L55" s="2">
        <v>12</v>
      </c>
      <c r="M55" s="2" t="s">
        <v>524</v>
      </c>
    </row>
    <row r="56" spans="1:13" x14ac:dyDescent="0.55000000000000004">
      <c r="A56" s="1">
        <v>299.83999999999997</v>
      </c>
      <c r="B56" s="1">
        <v>0.4</v>
      </c>
      <c r="C56" s="2">
        <v>-0.39794000867203799</v>
      </c>
      <c r="J56" s="2">
        <v>45</v>
      </c>
      <c r="K56" s="2">
        <v>3.77</v>
      </c>
      <c r="L56" s="2">
        <v>13</v>
      </c>
      <c r="M56" s="2" t="s">
        <v>524</v>
      </c>
    </row>
    <row r="57" spans="1:13" x14ac:dyDescent="0.55000000000000004">
      <c r="A57" s="1">
        <v>299.83999999999997</v>
      </c>
      <c r="B57" s="1">
        <v>0.4</v>
      </c>
      <c r="C57" s="2">
        <v>-0.39794000867203799</v>
      </c>
      <c r="J57" s="2">
        <v>45</v>
      </c>
      <c r="K57" s="2">
        <v>3.9</v>
      </c>
      <c r="L57" s="2">
        <v>14</v>
      </c>
      <c r="M57" s="2" t="s">
        <v>524</v>
      </c>
    </row>
    <row r="58" spans="1:13" x14ac:dyDescent="0.55000000000000004">
      <c r="A58" s="1">
        <v>299.85000000000002</v>
      </c>
      <c r="B58" s="1">
        <v>0.5</v>
      </c>
      <c r="C58" s="2">
        <v>-0.30102999566398098</v>
      </c>
      <c r="J58" s="2">
        <v>60</v>
      </c>
      <c r="K58" s="2">
        <v>2.69</v>
      </c>
      <c r="L58" s="2">
        <v>1</v>
      </c>
      <c r="M58" s="2" t="s">
        <v>521</v>
      </c>
    </row>
    <row r="59" spans="1:13" x14ac:dyDescent="0.55000000000000004">
      <c r="A59" s="1">
        <v>299.83999999999997</v>
      </c>
      <c r="B59" s="1">
        <v>0.5</v>
      </c>
      <c r="C59" s="2">
        <v>-0.30102999566398098</v>
      </c>
      <c r="J59" s="2">
        <v>60</v>
      </c>
      <c r="K59" s="2">
        <v>6.37</v>
      </c>
      <c r="L59" s="2">
        <v>2</v>
      </c>
      <c r="M59" s="2" t="s">
        <v>521</v>
      </c>
    </row>
    <row r="60" spans="1:13" x14ac:dyDescent="0.55000000000000004">
      <c r="A60" s="1">
        <v>299.83999999999997</v>
      </c>
      <c r="B60" s="1">
        <v>0.5</v>
      </c>
      <c r="C60" s="2">
        <v>-0.30102999566398098</v>
      </c>
      <c r="J60" s="2">
        <v>60</v>
      </c>
      <c r="K60" s="2">
        <v>1.42</v>
      </c>
      <c r="L60" s="2">
        <v>3</v>
      </c>
      <c r="M60" s="2" t="s">
        <v>521</v>
      </c>
    </row>
    <row r="61" spans="1:13" x14ac:dyDescent="0.55000000000000004">
      <c r="A61" s="1">
        <v>299.83999999999997</v>
      </c>
      <c r="B61" s="1">
        <v>0.5</v>
      </c>
      <c r="C61" s="2">
        <v>-0.30102999566398098</v>
      </c>
      <c r="J61" s="2">
        <v>60</v>
      </c>
      <c r="K61" s="2">
        <v>3.3</v>
      </c>
      <c r="L61" s="2">
        <v>4</v>
      </c>
      <c r="M61" s="2" t="s">
        <v>521</v>
      </c>
    </row>
    <row r="62" spans="1:13" x14ac:dyDescent="0.55000000000000004">
      <c r="A62" s="1">
        <v>299.89</v>
      </c>
      <c r="B62" s="1">
        <v>0.5</v>
      </c>
      <c r="C62" s="2">
        <v>-0.30102999566398098</v>
      </c>
      <c r="J62" s="2">
        <v>60</v>
      </c>
      <c r="K62" s="2">
        <v>3.98</v>
      </c>
      <c r="L62" s="2">
        <v>5</v>
      </c>
      <c r="M62" s="2" t="s">
        <v>521</v>
      </c>
    </row>
    <row r="63" spans="1:13" x14ac:dyDescent="0.55000000000000004">
      <c r="A63" s="1">
        <v>299.81</v>
      </c>
      <c r="B63" s="1">
        <v>0.5</v>
      </c>
      <c r="C63" s="2">
        <v>-0.30102999566398098</v>
      </c>
      <c r="J63" s="2">
        <v>60</v>
      </c>
      <c r="K63" s="2">
        <v>1.17</v>
      </c>
      <c r="L63" s="2">
        <v>6</v>
      </c>
      <c r="M63" s="2" t="s">
        <v>521</v>
      </c>
    </row>
    <row r="64" spans="1:13" x14ac:dyDescent="0.55000000000000004">
      <c r="A64" s="1">
        <v>299.81</v>
      </c>
      <c r="B64" s="1">
        <v>0.5</v>
      </c>
      <c r="C64" s="2">
        <v>-0.30102999566398098</v>
      </c>
      <c r="J64" s="2">
        <v>60</v>
      </c>
      <c r="K64" s="2">
        <v>3.65</v>
      </c>
      <c r="L64" s="2">
        <v>7</v>
      </c>
      <c r="M64" s="2" t="s">
        <v>521</v>
      </c>
    </row>
    <row r="65" spans="1:13" x14ac:dyDescent="0.55000000000000004">
      <c r="A65" s="1">
        <v>299.82</v>
      </c>
      <c r="B65" s="1">
        <v>0.5</v>
      </c>
      <c r="C65" s="2">
        <v>-0.30102999566398098</v>
      </c>
      <c r="J65" s="2">
        <v>60</v>
      </c>
      <c r="K65" s="2">
        <v>2.37</v>
      </c>
      <c r="L65" s="2">
        <v>8</v>
      </c>
      <c r="M65" s="2" t="s">
        <v>521</v>
      </c>
    </row>
    <row r="66" spans="1:13" x14ac:dyDescent="0.55000000000000004">
      <c r="A66" s="1">
        <v>299.8</v>
      </c>
      <c r="B66" s="1">
        <v>0.5</v>
      </c>
      <c r="C66" s="2">
        <v>-0.30102999566398098</v>
      </c>
      <c r="J66" s="2">
        <v>60</v>
      </c>
      <c r="K66" s="2">
        <v>2.61</v>
      </c>
      <c r="L66" s="2">
        <v>9</v>
      </c>
      <c r="M66" s="2" t="s">
        <v>521</v>
      </c>
    </row>
    <row r="67" spans="1:13" x14ac:dyDescent="0.55000000000000004">
      <c r="A67" s="1">
        <v>299.77</v>
      </c>
      <c r="B67" s="1">
        <v>0.5</v>
      </c>
      <c r="C67" s="2">
        <v>-0.30102999566398098</v>
      </c>
      <c r="J67" s="2">
        <v>60</v>
      </c>
      <c r="K67" s="2">
        <v>5.21</v>
      </c>
      <c r="L67" s="2">
        <v>10</v>
      </c>
      <c r="M67" s="2" t="s">
        <v>524</v>
      </c>
    </row>
    <row r="68" spans="1:13" x14ac:dyDescent="0.55000000000000004">
      <c r="A68" s="1">
        <v>299.76</v>
      </c>
      <c r="B68" s="1">
        <v>0.5</v>
      </c>
      <c r="C68" s="2">
        <v>-0.30102999566398098</v>
      </c>
      <c r="J68" s="2">
        <v>60</v>
      </c>
      <c r="K68" s="2">
        <v>2.2999999999999998</v>
      </c>
      <c r="L68" s="2">
        <v>11</v>
      </c>
      <c r="M68" s="2" t="s">
        <v>524</v>
      </c>
    </row>
    <row r="69" spans="1:13" x14ac:dyDescent="0.55000000000000004">
      <c r="A69" s="1">
        <v>299.74</v>
      </c>
      <c r="B69" s="1">
        <v>0.5</v>
      </c>
      <c r="C69" s="2">
        <v>-0.30102999566398098</v>
      </c>
      <c r="J69" s="2">
        <v>60</v>
      </c>
      <c r="K69" s="2">
        <v>2.42</v>
      </c>
      <c r="L69" s="2">
        <v>12</v>
      </c>
      <c r="M69" s="2" t="s">
        <v>524</v>
      </c>
    </row>
    <row r="70" spans="1:13" x14ac:dyDescent="0.55000000000000004">
      <c r="A70" s="1">
        <v>299.75</v>
      </c>
      <c r="B70" s="1">
        <v>0.5</v>
      </c>
      <c r="C70" s="2">
        <v>-0.30102999566398098</v>
      </c>
      <c r="J70" s="2">
        <v>60</v>
      </c>
      <c r="K70" s="2">
        <v>2.97</v>
      </c>
      <c r="L70" s="2">
        <v>13</v>
      </c>
      <c r="M70" s="2" t="s">
        <v>524</v>
      </c>
    </row>
    <row r="71" spans="1:13" x14ac:dyDescent="0.55000000000000004">
      <c r="A71" s="1">
        <v>299.76</v>
      </c>
      <c r="B71" s="1">
        <v>0.5</v>
      </c>
      <c r="C71" s="2">
        <v>-0.30102999566398098</v>
      </c>
      <c r="J71" s="2">
        <v>60</v>
      </c>
      <c r="K71" s="2">
        <v>5.53</v>
      </c>
      <c r="L71" s="2">
        <v>14</v>
      </c>
      <c r="M71" s="2" t="s">
        <v>524</v>
      </c>
    </row>
    <row r="72" spans="1:13" x14ac:dyDescent="0.55000000000000004">
      <c r="A72" s="1">
        <v>299.91000000000003</v>
      </c>
      <c r="B72" s="1">
        <v>0.5</v>
      </c>
      <c r="C72" s="2">
        <v>-0.30102999566398098</v>
      </c>
      <c r="J72" s="2">
        <v>90</v>
      </c>
      <c r="K72" s="2">
        <v>1.91</v>
      </c>
      <c r="L72" s="2">
        <v>1</v>
      </c>
      <c r="M72" s="2" t="s">
        <v>521</v>
      </c>
    </row>
    <row r="73" spans="1:13" x14ac:dyDescent="0.55000000000000004">
      <c r="A73" s="1">
        <v>299.92</v>
      </c>
      <c r="B73" s="1">
        <v>0.5</v>
      </c>
      <c r="C73" s="2">
        <v>-0.30102999566398098</v>
      </c>
      <c r="J73" s="2">
        <v>90</v>
      </c>
      <c r="K73" s="2">
        <v>4.8899999999999997</v>
      </c>
      <c r="L73" s="2">
        <v>2</v>
      </c>
      <c r="M73" s="2" t="s">
        <v>521</v>
      </c>
    </row>
    <row r="74" spans="1:13" x14ac:dyDescent="0.55000000000000004">
      <c r="A74" s="1">
        <v>299.89</v>
      </c>
      <c r="B74" s="1">
        <v>0.5</v>
      </c>
      <c r="C74" s="2">
        <v>-0.30102999566398098</v>
      </c>
      <c r="J74" s="2">
        <v>90</v>
      </c>
      <c r="K74" s="2">
        <v>1.61</v>
      </c>
      <c r="L74" s="2">
        <v>3</v>
      </c>
      <c r="M74" s="2" t="s">
        <v>521</v>
      </c>
    </row>
    <row r="75" spans="1:13" x14ac:dyDescent="0.55000000000000004">
      <c r="A75" s="1">
        <v>299.86</v>
      </c>
      <c r="B75" s="1">
        <v>0.5</v>
      </c>
      <c r="C75" s="2">
        <v>-0.30102999566398098</v>
      </c>
      <c r="J75" s="2">
        <v>90</v>
      </c>
      <c r="K75" s="2">
        <v>1.81</v>
      </c>
      <c r="L75" s="2">
        <v>4</v>
      </c>
      <c r="M75" s="2" t="s">
        <v>521</v>
      </c>
    </row>
    <row r="76" spans="1:13" x14ac:dyDescent="0.55000000000000004">
      <c r="A76" s="1">
        <v>299.88</v>
      </c>
      <c r="B76" s="1">
        <v>0.5</v>
      </c>
      <c r="C76" s="2">
        <v>-0.30102999566398098</v>
      </c>
      <c r="J76" s="2">
        <v>90</v>
      </c>
      <c r="K76" s="2">
        <v>1.9</v>
      </c>
      <c r="L76" s="2">
        <v>5</v>
      </c>
      <c r="M76" s="2" t="s">
        <v>521</v>
      </c>
    </row>
    <row r="77" spans="1:13" x14ac:dyDescent="0.55000000000000004">
      <c r="A77" s="1">
        <v>299.72000000000003</v>
      </c>
      <c r="B77" s="1">
        <v>0.5</v>
      </c>
      <c r="C77" s="2">
        <v>-0.30102999566398098</v>
      </c>
      <c r="J77" s="2">
        <v>90</v>
      </c>
      <c r="K77" s="2">
        <v>0.88</v>
      </c>
      <c r="L77" s="2">
        <v>6</v>
      </c>
      <c r="M77" s="2" t="s">
        <v>521</v>
      </c>
    </row>
    <row r="78" spans="1:13" x14ac:dyDescent="0.55000000000000004">
      <c r="A78" s="1">
        <v>299.83999999999997</v>
      </c>
      <c r="B78" s="1">
        <v>0.5</v>
      </c>
      <c r="C78" s="2">
        <v>-0.30102999566398098</v>
      </c>
      <c r="J78" s="2">
        <v>90</v>
      </c>
      <c r="K78" s="2">
        <v>2.3199999999999998</v>
      </c>
      <c r="L78" s="2">
        <v>7</v>
      </c>
      <c r="M78" s="2" t="s">
        <v>521</v>
      </c>
    </row>
    <row r="79" spans="1:13" x14ac:dyDescent="0.55000000000000004">
      <c r="A79" s="1">
        <v>299.85000000000002</v>
      </c>
      <c r="B79" s="1">
        <v>0.5</v>
      </c>
      <c r="C79" s="2">
        <v>-0.30102999566398098</v>
      </c>
      <c r="J79" s="2">
        <v>90</v>
      </c>
      <c r="K79" s="2">
        <v>2.0699999999999998</v>
      </c>
      <c r="L79" s="2">
        <v>8</v>
      </c>
      <c r="M79" s="2" t="s">
        <v>521</v>
      </c>
    </row>
    <row r="80" spans="1:13" x14ac:dyDescent="0.55000000000000004">
      <c r="A80" s="1">
        <v>299.85000000000002</v>
      </c>
      <c r="B80" s="1">
        <v>0.5</v>
      </c>
      <c r="C80" s="2">
        <v>-0.30102999566398098</v>
      </c>
      <c r="J80" s="2">
        <v>90</v>
      </c>
      <c r="K80" s="2">
        <v>2.29</v>
      </c>
      <c r="L80" s="2">
        <v>9</v>
      </c>
      <c r="M80" s="2" t="s">
        <v>521</v>
      </c>
    </row>
    <row r="81" spans="1:13" x14ac:dyDescent="0.55000000000000004">
      <c r="A81" s="1">
        <v>299.77999999999997</v>
      </c>
      <c r="B81" s="1">
        <v>0.5</v>
      </c>
      <c r="C81" s="2">
        <v>-0.30102999566398098</v>
      </c>
      <c r="J81" s="2">
        <v>90</v>
      </c>
      <c r="K81" s="2">
        <v>4.84</v>
      </c>
      <c r="L81" s="2">
        <v>10</v>
      </c>
      <c r="M81" s="2" t="s">
        <v>524</v>
      </c>
    </row>
    <row r="82" spans="1:13" x14ac:dyDescent="0.55000000000000004">
      <c r="A82" s="1">
        <v>299.89</v>
      </c>
      <c r="B82" s="1">
        <v>0.5</v>
      </c>
      <c r="C82" s="2">
        <v>-0.30102999566398098</v>
      </c>
      <c r="J82" s="2">
        <v>90</v>
      </c>
      <c r="K82" s="2">
        <v>1.95</v>
      </c>
      <c r="L82" s="2">
        <v>11</v>
      </c>
      <c r="M82" s="2" t="s">
        <v>524</v>
      </c>
    </row>
    <row r="83" spans="1:13" x14ac:dyDescent="0.55000000000000004">
      <c r="A83" s="1">
        <v>299.83999999999997</v>
      </c>
      <c r="B83" s="1">
        <v>0.5</v>
      </c>
      <c r="C83" s="2">
        <v>-0.30102999566398098</v>
      </c>
      <c r="J83" s="2">
        <v>90</v>
      </c>
      <c r="K83" s="2">
        <v>1.69</v>
      </c>
      <c r="L83" s="2">
        <v>12</v>
      </c>
      <c r="M83" s="2" t="s">
        <v>524</v>
      </c>
    </row>
    <row r="84" spans="1:13" x14ac:dyDescent="0.55000000000000004">
      <c r="A84" s="1">
        <v>299.77999999999997</v>
      </c>
      <c r="B84" s="1">
        <v>0.5</v>
      </c>
      <c r="C84" s="2">
        <v>-0.30102999566398098</v>
      </c>
      <c r="J84" s="2">
        <v>90</v>
      </c>
      <c r="K84" s="2">
        <v>1.78</v>
      </c>
      <c r="L84" s="2">
        <v>13</v>
      </c>
      <c r="M84" s="2" t="s">
        <v>524</v>
      </c>
    </row>
    <row r="85" spans="1:13" x14ac:dyDescent="0.55000000000000004">
      <c r="A85" s="1">
        <v>299.81</v>
      </c>
      <c r="B85" s="1">
        <v>0.5</v>
      </c>
      <c r="C85" s="2">
        <v>-0.30102999566398098</v>
      </c>
      <c r="J85" s="2">
        <v>90</v>
      </c>
      <c r="K85" s="2">
        <v>7.17</v>
      </c>
      <c r="L85" s="2">
        <v>14</v>
      </c>
      <c r="M85" s="2" t="s">
        <v>524</v>
      </c>
    </row>
    <row r="86" spans="1:13" x14ac:dyDescent="0.55000000000000004">
      <c r="A86" s="1">
        <v>299.76</v>
      </c>
      <c r="B86" s="1">
        <v>0.5</v>
      </c>
      <c r="C86" s="2">
        <v>-0.30102999566398098</v>
      </c>
      <c r="J86" s="2">
        <v>120</v>
      </c>
      <c r="K86" s="2">
        <v>1.72</v>
      </c>
      <c r="L86" s="2">
        <v>1</v>
      </c>
      <c r="M86" s="2" t="s">
        <v>521</v>
      </c>
    </row>
    <row r="87" spans="1:13" x14ac:dyDescent="0.55000000000000004">
      <c r="A87" s="1">
        <v>299.81</v>
      </c>
      <c r="B87" s="1">
        <v>0.5</v>
      </c>
      <c r="C87" s="2">
        <v>-0.30102999566398098</v>
      </c>
      <c r="J87" s="2">
        <v>120</v>
      </c>
      <c r="K87" s="2">
        <v>2.11</v>
      </c>
      <c r="L87" s="2">
        <v>2</v>
      </c>
      <c r="M87" s="2" t="s">
        <v>521</v>
      </c>
    </row>
    <row r="88" spans="1:13" x14ac:dyDescent="0.55000000000000004">
      <c r="A88" s="1">
        <v>299.79000000000002</v>
      </c>
      <c r="B88" s="1">
        <v>0.5</v>
      </c>
      <c r="C88" s="2">
        <v>-0.30102999566398098</v>
      </c>
      <c r="J88" s="2">
        <v>120</v>
      </c>
      <c r="K88" s="2">
        <v>1.41</v>
      </c>
      <c r="L88" s="2">
        <v>3</v>
      </c>
      <c r="M88" s="2" t="s">
        <v>521</v>
      </c>
    </row>
    <row r="89" spans="1:13" x14ac:dyDescent="0.55000000000000004">
      <c r="A89" s="1">
        <v>299.81</v>
      </c>
      <c r="B89" s="1">
        <v>0.5</v>
      </c>
      <c r="C89" s="2">
        <v>-0.30102999566398098</v>
      </c>
      <c r="J89" s="2">
        <v>120</v>
      </c>
      <c r="K89" s="2">
        <v>1.1599999999999999</v>
      </c>
      <c r="L89" s="2">
        <v>4</v>
      </c>
      <c r="M89" s="2" t="s">
        <v>521</v>
      </c>
    </row>
    <row r="90" spans="1:13" x14ac:dyDescent="0.55000000000000004">
      <c r="A90" s="1">
        <v>299.82</v>
      </c>
      <c r="B90" s="1">
        <v>0.6</v>
      </c>
      <c r="C90" s="2">
        <v>-0.22184874961635601</v>
      </c>
      <c r="J90" s="2">
        <v>120</v>
      </c>
      <c r="K90" s="2">
        <v>1.24</v>
      </c>
      <c r="L90" s="2">
        <v>5</v>
      </c>
      <c r="M90" s="2" t="s">
        <v>521</v>
      </c>
    </row>
    <row r="91" spans="1:13" x14ac:dyDescent="0.55000000000000004">
      <c r="A91" s="1">
        <v>299.85000000000002</v>
      </c>
      <c r="B91" s="1">
        <v>0.6</v>
      </c>
      <c r="C91" s="2">
        <v>-0.22184874961635601</v>
      </c>
      <c r="J91" s="2">
        <v>120</v>
      </c>
      <c r="K91" s="2">
        <v>0.34</v>
      </c>
      <c r="L91" s="2">
        <v>6</v>
      </c>
      <c r="M91" s="2" t="s">
        <v>521</v>
      </c>
    </row>
    <row r="92" spans="1:13" x14ac:dyDescent="0.55000000000000004">
      <c r="A92" s="1">
        <v>299.87</v>
      </c>
      <c r="B92" s="1">
        <v>0.6</v>
      </c>
      <c r="C92" s="2">
        <v>-0.22184874961635601</v>
      </c>
      <c r="J92" s="2">
        <v>120</v>
      </c>
      <c r="K92" s="2">
        <v>1.25</v>
      </c>
      <c r="L92" s="2">
        <v>7</v>
      </c>
      <c r="M92" s="2" t="s">
        <v>521</v>
      </c>
    </row>
    <row r="93" spans="1:13" x14ac:dyDescent="0.55000000000000004">
      <c r="A93" s="1">
        <v>299.87</v>
      </c>
      <c r="B93" s="1">
        <v>0.6</v>
      </c>
      <c r="C93" s="2">
        <v>-0.22184874961635601</v>
      </c>
      <c r="J93" s="2">
        <v>120</v>
      </c>
      <c r="K93" s="2">
        <v>2.54</v>
      </c>
      <c r="L93" s="2">
        <v>8</v>
      </c>
      <c r="M93" s="2" t="s">
        <v>521</v>
      </c>
    </row>
    <row r="94" spans="1:13" x14ac:dyDescent="0.55000000000000004">
      <c r="A94" s="1">
        <v>299.81</v>
      </c>
      <c r="B94" s="1">
        <v>0.6</v>
      </c>
      <c r="C94" s="2">
        <v>-0.22184874961635601</v>
      </c>
      <c r="J94" s="2">
        <v>120</v>
      </c>
      <c r="K94" s="2">
        <v>2.23</v>
      </c>
      <c r="L94" s="2">
        <v>9</v>
      </c>
      <c r="M94" s="2" t="s">
        <v>521</v>
      </c>
    </row>
    <row r="95" spans="1:13" x14ac:dyDescent="0.55000000000000004">
      <c r="A95" s="1">
        <v>299.74</v>
      </c>
      <c r="B95" s="1">
        <v>0.6</v>
      </c>
      <c r="C95" s="2">
        <v>-0.22184874961635601</v>
      </c>
      <c r="J95" s="2">
        <v>120</v>
      </c>
      <c r="K95" s="2">
        <v>2.12</v>
      </c>
      <c r="L95" s="2">
        <v>10</v>
      </c>
      <c r="M95" s="2" t="s">
        <v>524</v>
      </c>
    </row>
    <row r="96" spans="1:13" x14ac:dyDescent="0.55000000000000004">
      <c r="A96" s="1">
        <v>299.81</v>
      </c>
      <c r="B96" s="1">
        <v>0.6</v>
      </c>
      <c r="C96" s="2">
        <v>-0.22184874961635601</v>
      </c>
      <c r="J96" s="2">
        <v>120</v>
      </c>
      <c r="K96" s="2">
        <v>1.46</v>
      </c>
      <c r="L96" s="2">
        <v>11</v>
      </c>
      <c r="M96" s="2" t="s">
        <v>524</v>
      </c>
    </row>
    <row r="97" spans="1:13" x14ac:dyDescent="0.55000000000000004">
      <c r="A97" s="1">
        <v>299.94</v>
      </c>
      <c r="B97" s="1">
        <v>0.6</v>
      </c>
      <c r="C97" s="2">
        <v>-0.22184874961635601</v>
      </c>
      <c r="J97" s="2">
        <v>120</v>
      </c>
      <c r="K97" s="2">
        <v>0.7</v>
      </c>
      <c r="L97" s="2">
        <v>12</v>
      </c>
      <c r="M97" s="2" t="s">
        <v>524</v>
      </c>
    </row>
    <row r="98" spans="1:13" x14ac:dyDescent="0.55000000000000004">
      <c r="A98" s="1">
        <v>299.95</v>
      </c>
      <c r="B98" s="1">
        <v>0.6</v>
      </c>
      <c r="C98" s="2">
        <v>-0.22184874961635601</v>
      </c>
      <c r="J98" s="2">
        <v>120</v>
      </c>
      <c r="K98" s="2">
        <v>1.27</v>
      </c>
      <c r="L98" s="2">
        <v>13</v>
      </c>
      <c r="M98" s="2" t="s">
        <v>524</v>
      </c>
    </row>
    <row r="99" spans="1:13" x14ac:dyDescent="0.55000000000000004">
      <c r="A99" s="1">
        <v>299.8</v>
      </c>
      <c r="B99" s="1">
        <v>0.6</v>
      </c>
      <c r="C99" s="2">
        <v>-0.22184874961635601</v>
      </c>
      <c r="J99" s="2">
        <v>120</v>
      </c>
      <c r="K99" s="2">
        <v>5.16</v>
      </c>
      <c r="L99" s="2">
        <v>14</v>
      </c>
      <c r="M99" s="2" t="s">
        <v>524</v>
      </c>
    </row>
    <row r="100" spans="1:13" x14ac:dyDescent="0.55000000000000004">
      <c r="A100" s="1">
        <v>299.81</v>
      </c>
      <c r="B100" s="1">
        <v>0.6</v>
      </c>
      <c r="C100" s="2">
        <v>-0.22184874961635601</v>
      </c>
      <c r="J100" s="2">
        <v>150</v>
      </c>
      <c r="K100" s="2">
        <v>1.22</v>
      </c>
      <c r="L100" s="2">
        <v>1</v>
      </c>
      <c r="M100" s="2" t="s">
        <v>521</v>
      </c>
    </row>
    <row r="101" spans="1:13" x14ac:dyDescent="0.55000000000000004">
      <c r="A101" s="1">
        <v>299.87</v>
      </c>
      <c r="B101" s="1">
        <v>0.6</v>
      </c>
      <c r="C101" s="2">
        <v>-0.22184874961635601</v>
      </c>
      <c r="J101" s="2">
        <v>150</v>
      </c>
      <c r="K101" s="2">
        <v>1.4</v>
      </c>
      <c r="L101" s="2">
        <v>2</v>
      </c>
      <c r="M101" s="2" t="s">
        <v>521</v>
      </c>
    </row>
    <row r="102" spans="1:13" x14ac:dyDescent="0.55000000000000004">
      <c r="B102" s="1">
        <v>0.6</v>
      </c>
      <c r="C102" s="2">
        <v>-0.22184874961635601</v>
      </c>
      <c r="J102" s="2">
        <v>150</v>
      </c>
      <c r="K102" s="2">
        <v>1.0900000000000001</v>
      </c>
      <c r="L102" s="2">
        <v>3</v>
      </c>
      <c r="M102" s="2" t="s">
        <v>521</v>
      </c>
    </row>
    <row r="103" spans="1:13" x14ac:dyDescent="0.55000000000000004">
      <c r="B103" s="1">
        <v>0.6</v>
      </c>
      <c r="C103" s="2">
        <v>-0.22184874961635601</v>
      </c>
      <c r="J103" s="2">
        <v>150</v>
      </c>
      <c r="K103" s="2">
        <v>0.69</v>
      </c>
      <c r="L103" s="2">
        <v>4</v>
      </c>
      <c r="M103" s="2" t="s">
        <v>521</v>
      </c>
    </row>
    <row r="104" spans="1:13" x14ac:dyDescent="0.55000000000000004">
      <c r="B104" s="1">
        <v>0.6</v>
      </c>
      <c r="C104" s="2">
        <v>-0.22184874961635601</v>
      </c>
      <c r="J104" s="2">
        <v>150</v>
      </c>
      <c r="K104" s="2">
        <v>1.01</v>
      </c>
      <c r="L104" s="2">
        <v>5</v>
      </c>
      <c r="M104" s="2" t="s">
        <v>521</v>
      </c>
    </row>
    <row r="105" spans="1:13" x14ac:dyDescent="0.55000000000000004">
      <c r="B105" s="1">
        <v>0.6</v>
      </c>
      <c r="C105" s="2">
        <v>-0.22184874961635601</v>
      </c>
      <c r="J105" s="2">
        <v>150</v>
      </c>
      <c r="K105" s="2">
        <v>0.24</v>
      </c>
      <c r="L105" s="2">
        <v>6</v>
      </c>
      <c r="M105" s="2" t="s">
        <v>521</v>
      </c>
    </row>
    <row r="106" spans="1:13" x14ac:dyDescent="0.55000000000000004">
      <c r="B106" s="1">
        <v>0.6</v>
      </c>
      <c r="C106" s="2">
        <v>-0.22184874961635601</v>
      </c>
      <c r="J106" s="2">
        <v>150</v>
      </c>
      <c r="K106" s="2">
        <v>1.02</v>
      </c>
      <c r="L106" s="2">
        <v>7</v>
      </c>
      <c r="M106" s="2" t="s">
        <v>521</v>
      </c>
    </row>
    <row r="107" spans="1:13" x14ac:dyDescent="0.55000000000000004">
      <c r="B107" s="1">
        <v>0.6</v>
      </c>
      <c r="C107" s="2">
        <v>-0.22184874961635601</v>
      </c>
      <c r="J107" s="2">
        <v>150</v>
      </c>
      <c r="K107" s="2">
        <v>1.34</v>
      </c>
      <c r="L107" s="2">
        <v>8</v>
      </c>
      <c r="M107" s="2" t="s">
        <v>521</v>
      </c>
    </row>
    <row r="108" spans="1:13" x14ac:dyDescent="0.55000000000000004">
      <c r="B108" s="1">
        <v>0.6</v>
      </c>
      <c r="C108" s="2">
        <v>-0.22184874961635601</v>
      </c>
      <c r="J108" s="2">
        <v>150</v>
      </c>
      <c r="K108" s="2">
        <v>1.97</v>
      </c>
      <c r="L108" s="2">
        <v>9</v>
      </c>
      <c r="M108" s="2" t="s">
        <v>521</v>
      </c>
    </row>
    <row r="109" spans="1:13" x14ac:dyDescent="0.55000000000000004">
      <c r="B109" s="1">
        <v>0.6</v>
      </c>
      <c r="C109" s="2">
        <v>-0.22184874961635601</v>
      </c>
      <c r="J109" s="2">
        <v>150</v>
      </c>
      <c r="K109" s="2">
        <v>1.5</v>
      </c>
      <c r="L109" s="2">
        <v>10</v>
      </c>
      <c r="M109" s="2" t="s">
        <v>524</v>
      </c>
    </row>
    <row r="110" spans="1:13" x14ac:dyDescent="0.55000000000000004">
      <c r="B110" s="1">
        <v>0.6</v>
      </c>
      <c r="C110" s="2">
        <v>-0.22184874961635601</v>
      </c>
      <c r="J110" s="2">
        <v>150</v>
      </c>
      <c r="K110" s="2">
        <v>1.49</v>
      </c>
      <c r="L110" s="2">
        <v>11</v>
      </c>
      <c r="M110" s="2" t="s">
        <v>524</v>
      </c>
    </row>
    <row r="111" spans="1:13" x14ac:dyDescent="0.55000000000000004">
      <c r="B111" s="1">
        <v>0.6</v>
      </c>
      <c r="C111" s="2">
        <v>-0.22184874961635601</v>
      </c>
      <c r="J111" s="2">
        <v>150</v>
      </c>
      <c r="K111" s="2">
        <v>0.76</v>
      </c>
      <c r="L111" s="2">
        <v>12</v>
      </c>
      <c r="M111" s="2" t="s">
        <v>524</v>
      </c>
    </row>
    <row r="112" spans="1:13" x14ac:dyDescent="0.55000000000000004">
      <c r="B112" s="1">
        <v>0.6</v>
      </c>
      <c r="C112" s="2">
        <v>-0.22184874961635601</v>
      </c>
      <c r="J112" s="2">
        <v>150</v>
      </c>
      <c r="K112" s="2">
        <v>0.99</v>
      </c>
      <c r="L112" s="2">
        <v>13</v>
      </c>
      <c r="M112" s="2" t="s">
        <v>524</v>
      </c>
    </row>
    <row r="113" spans="2:13" x14ac:dyDescent="0.55000000000000004">
      <c r="B113" s="1">
        <v>0.6</v>
      </c>
      <c r="C113" s="2">
        <v>-0.22184874961635601</v>
      </c>
      <c r="J113" s="2">
        <v>150</v>
      </c>
      <c r="K113" s="2">
        <v>3.84</v>
      </c>
      <c r="L113" s="2">
        <v>14</v>
      </c>
      <c r="M113" s="2" t="s">
        <v>524</v>
      </c>
    </row>
    <row r="114" spans="2:13" x14ac:dyDescent="0.55000000000000004">
      <c r="B114" s="1">
        <v>0.6</v>
      </c>
      <c r="C114" s="2">
        <v>-0.22184874961635601</v>
      </c>
      <c r="J114" s="2">
        <v>180</v>
      </c>
      <c r="K114" s="2">
        <v>1.1499999999999999</v>
      </c>
      <c r="L114" s="2">
        <v>1</v>
      </c>
      <c r="M114" s="2" t="s">
        <v>521</v>
      </c>
    </row>
    <row r="115" spans="2:13" x14ac:dyDescent="0.55000000000000004">
      <c r="B115" s="1">
        <v>0.6</v>
      </c>
      <c r="C115" s="2">
        <v>-0.22184874961635601</v>
      </c>
      <c r="J115" s="2">
        <v>180</v>
      </c>
      <c r="K115" s="2">
        <v>1.42</v>
      </c>
      <c r="L115" s="2">
        <v>2</v>
      </c>
      <c r="M115" s="2" t="s">
        <v>521</v>
      </c>
    </row>
    <row r="116" spans="2:13" x14ac:dyDescent="0.55000000000000004">
      <c r="B116" s="1">
        <v>0.6</v>
      </c>
      <c r="C116" s="2">
        <v>-0.22184874961635601</v>
      </c>
      <c r="J116" s="2">
        <v>180</v>
      </c>
      <c r="K116" s="2">
        <v>0.49</v>
      </c>
      <c r="L116" s="2">
        <v>3</v>
      </c>
      <c r="M116" s="2" t="s">
        <v>521</v>
      </c>
    </row>
    <row r="117" spans="2:13" x14ac:dyDescent="0.55000000000000004">
      <c r="B117" s="1">
        <v>0.6</v>
      </c>
      <c r="C117" s="2">
        <v>-0.22184874961635601</v>
      </c>
      <c r="J117" s="2">
        <v>180</v>
      </c>
      <c r="K117" s="2">
        <v>0.63</v>
      </c>
      <c r="L117" s="2">
        <v>4</v>
      </c>
      <c r="M117" s="2" t="s">
        <v>521</v>
      </c>
    </row>
    <row r="118" spans="2:13" x14ac:dyDescent="0.55000000000000004">
      <c r="B118" s="1">
        <v>0.6</v>
      </c>
      <c r="C118" s="2">
        <v>-0.22184874961635601</v>
      </c>
      <c r="J118" s="2">
        <v>180</v>
      </c>
      <c r="K118" s="2">
        <v>0.78</v>
      </c>
      <c r="L118" s="2">
        <v>5</v>
      </c>
      <c r="M118" s="2" t="s">
        <v>521</v>
      </c>
    </row>
    <row r="119" spans="2:13" x14ac:dyDescent="0.55000000000000004">
      <c r="B119" s="1">
        <v>0.6</v>
      </c>
      <c r="C119" s="2">
        <v>-0.22184874961635601</v>
      </c>
      <c r="J119" s="2">
        <v>180</v>
      </c>
      <c r="K119" s="2">
        <v>0.37</v>
      </c>
      <c r="L119" s="2">
        <v>6</v>
      </c>
      <c r="M119" s="2" t="s">
        <v>521</v>
      </c>
    </row>
    <row r="120" spans="2:13" x14ac:dyDescent="0.55000000000000004">
      <c r="B120" s="1">
        <v>0.6</v>
      </c>
      <c r="C120" s="2">
        <v>-0.22184874961635601</v>
      </c>
      <c r="J120" s="2">
        <v>180</v>
      </c>
      <c r="K120" s="2">
        <v>0.7</v>
      </c>
      <c r="L120" s="2">
        <v>7</v>
      </c>
      <c r="M120" s="2" t="s">
        <v>521</v>
      </c>
    </row>
    <row r="121" spans="2:13" x14ac:dyDescent="0.55000000000000004">
      <c r="B121" s="1">
        <v>0.6</v>
      </c>
      <c r="C121" s="2">
        <v>-0.22184874961635601</v>
      </c>
      <c r="J121" s="2">
        <v>180</v>
      </c>
      <c r="K121" s="2">
        <v>0.93</v>
      </c>
      <c r="L121" s="2">
        <v>8</v>
      </c>
      <c r="M121" s="2" t="s">
        <v>521</v>
      </c>
    </row>
    <row r="122" spans="2:13" x14ac:dyDescent="0.55000000000000004">
      <c r="B122" s="1">
        <v>0.6</v>
      </c>
      <c r="C122" s="2">
        <v>-0.22184874961635601</v>
      </c>
      <c r="J122" s="2">
        <v>180</v>
      </c>
      <c r="K122" s="2">
        <v>0.73</v>
      </c>
      <c r="L122" s="2">
        <v>9</v>
      </c>
      <c r="M122" s="2" t="s">
        <v>521</v>
      </c>
    </row>
    <row r="123" spans="2:13" x14ac:dyDescent="0.55000000000000004">
      <c r="B123" s="1">
        <v>0.6</v>
      </c>
      <c r="C123" s="2">
        <v>-0.22184874961635601</v>
      </c>
      <c r="J123" s="2">
        <v>180</v>
      </c>
      <c r="K123" s="2">
        <v>1.18</v>
      </c>
      <c r="L123" s="2">
        <v>10</v>
      </c>
      <c r="M123" s="2" t="s">
        <v>524</v>
      </c>
    </row>
    <row r="124" spans="2:13" x14ac:dyDescent="0.55000000000000004">
      <c r="B124" s="1">
        <v>0.6</v>
      </c>
      <c r="C124" s="2">
        <v>-0.22184874961635601</v>
      </c>
      <c r="J124" s="2">
        <v>180</v>
      </c>
      <c r="K124" s="2">
        <v>1.34</v>
      </c>
      <c r="L124" s="2">
        <v>11</v>
      </c>
      <c r="M124" s="2" t="s">
        <v>524</v>
      </c>
    </row>
    <row r="125" spans="2:13" x14ac:dyDescent="0.55000000000000004">
      <c r="B125" s="1">
        <v>0.7</v>
      </c>
      <c r="C125" s="2">
        <v>-0.15490195998574299</v>
      </c>
      <c r="J125" s="2">
        <v>180</v>
      </c>
      <c r="K125" s="2">
        <v>0.47</v>
      </c>
      <c r="L125" s="2">
        <v>12</v>
      </c>
      <c r="M125" s="2" t="s">
        <v>524</v>
      </c>
    </row>
    <row r="126" spans="2:13" x14ac:dyDescent="0.55000000000000004">
      <c r="B126" s="1">
        <v>0.7</v>
      </c>
      <c r="C126" s="2">
        <v>-0.15490195998574299</v>
      </c>
      <c r="J126" s="2">
        <v>180</v>
      </c>
      <c r="K126" s="2">
        <v>0.83</v>
      </c>
      <c r="L126" s="2">
        <v>13</v>
      </c>
      <c r="M126" s="2" t="s">
        <v>524</v>
      </c>
    </row>
    <row r="127" spans="2:13" x14ac:dyDescent="0.55000000000000004">
      <c r="B127" s="1">
        <v>0.7</v>
      </c>
      <c r="C127" s="2">
        <v>-0.15490195998574299</v>
      </c>
      <c r="J127" s="2">
        <v>180</v>
      </c>
      <c r="K127" s="2">
        <v>2.5099999999999998</v>
      </c>
      <c r="L127" s="2">
        <v>14</v>
      </c>
      <c r="M127" s="2" t="s">
        <v>524</v>
      </c>
    </row>
    <row r="128" spans="2:13" x14ac:dyDescent="0.55000000000000004">
      <c r="B128" s="1">
        <v>0.7</v>
      </c>
      <c r="C128" s="2">
        <v>-0.15490195998574299</v>
      </c>
      <c r="J128" s="2">
        <v>240</v>
      </c>
      <c r="K128" s="2">
        <v>0.71</v>
      </c>
      <c r="L128" s="2">
        <v>1</v>
      </c>
      <c r="M128" s="2" t="s">
        <v>521</v>
      </c>
    </row>
    <row r="129" spans="2:13" x14ac:dyDescent="0.55000000000000004">
      <c r="B129" s="1">
        <v>0.7</v>
      </c>
      <c r="C129" s="2">
        <v>-0.15490195998574299</v>
      </c>
      <c r="J129" s="2">
        <v>240</v>
      </c>
      <c r="K129" s="2">
        <v>0.72</v>
      </c>
      <c r="L129" s="2">
        <v>2</v>
      </c>
      <c r="M129" s="2" t="s">
        <v>521</v>
      </c>
    </row>
    <row r="130" spans="2:13" x14ac:dyDescent="0.55000000000000004">
      <c r="B130" s="1">
        <v>0.7</v>
      </c>
      <c r="C130" s="2">
        <v>-0.15490195998574299</v>
      </c>
      <c r="J130" s="2">
        <v>240</v>
      </c>
      <c r="K130" s="2">
        <v>0.2</v>
      </c>
      <c r="L130" s="2">
        <v>3</v>
      </c>
      <c r="M130" s="2" t="s">
        <v>521</v>
      </c>
    </row>
    <row r="131" spans="2:13" x14ac:dyDescent="0.55000000000000004">
      <c r="B131" s="1">
        <v>0.7</v>
      </c>
      <c r="C131" s="2">
        <v>-0.15490195998574299</v>
      </c>
      <c r="J131" s="2">
        <v>240</v>
      </c>
      <c r="K131" s="2">
        <v>0.36</v>
      </c>
      <c r="L131" s="2">
        <v>4</v>
      </c>
      <c r="M131" s="2" t="s">
        <v>521</v>
      </c>
    </row>
    <row r="132" spans="2:13" x14ac:dyDescent="0.55000000000000004">
      <c r="B132" s="1">
        <v>0.7</v>
      </c>
      <c r="C132" s="2">
        <v>-0.15490195998574299</v>
      </c>
      <c r="J132" s="2">
        <v>240</v>
      </c>
      <c r="K132" s="2">
        <v>0.52</v>
      </c>
      <c r="L132" s="2">
        <v>5</v>
      </c>
      <c r="M132" s="2" t="s">
        <v>521</v>
      </c>
    </row>
    <row r="133" spans="2:13" x14ac:dyDescent="0.55000000000000004">
      <c r="B133" s="1">
        <v>0.7</v>
      </c>
      <c r="C133" s="2">
        <v>-0.15490195998574299</v>
      </c>
      <c r="J133" s="2">
        <v>240</v>
      </c>
      <c r="K133" s="2">
        <v>0.09</v>
      </c>
      <c r="L133" s="2">
        <v>6</v>
      </c>
      <c r="M133" s="2" t="s">
        <v>521</v>
      </c>
    </row>
    <row r="134" spans="2:13" x14ac:dyDescent="0.55000000000000004">
      <c r="B134" s="1">
        <v>0.7</v>
      </c>
      <c r="C134" s="2">
        <v>-0.15490195998574299</v>
      </c>
      <c r="J134" s="2">
        <v>240</v>
      </c>
      <c r="K134" s="2">
        <v>0.43</v>
      </c>
      <c r="L134" s="2">
        <v>7</v>
      </c>
      <c r="M134" s="2" t="s">
        <v>521</v>
      </c>
    </row>
    <row r="135" spans="2:13" x14ac:dyDescent="0.55000000000000004">
      <c r="B135" s="1">
        <v>0.7</v>
      </c>
      <c r="C135" s="2">
        <v>-0.15490195998574299</v>
      </c>
      <c r="J135" s="2">
        <v>240</v>
      </c>
      <c r="K135" s="2">
        <v>0.64</v>
      </c>
      <c r="L135" s="2">
        <v>8</v>
      </c>
      <c r="M135" s="2" t="s">
        <v>521</v>
      </c>
    </row>
    <row r="136" spans="2:13" x14ac:dyDescent="0.55000000000000004">
      <c r="B136" s="1">
        <v>0.7</v>
      </c>
      <c r="C136" s="2">
        <v>-0.15490195998574299</v>
      </c>
      <c r="J136" s="2">
        <v>240</v>
      </c>
      <c r="K136" s="2">
        <v>0.41</v>
      </c>
      <c r="L136" s="2">
        <v>9</v>
      </c>
      <c r="M136" s="2" t="s">
        <v>521</v>
      </c>
    </row>
    <row r="137" spans="2:13" x14ac:dyDescent="0.55000000000000004">
      <c r="B137" s="1">
        <v>0.7</v>
      </c>
      <c r="C137" s="2">
        <v>-0.15490195998574299</v>
      </c>
      <c r="J137" s="2">
        <v>240</v>
      </c>
      <c r="K137" s="2">
        <v>0.72</v>
      </c>
      <c r="L137" s="2">
        <v>10</v>
      </c>
      <c r="M137" s="2" t="s">
        <v>524</v>
      </c>
    </row>
    <row r="138" spans="2:13" x14ac:dyDescent="0.55000000000000004">
      <c r="B138" s="1">
        <v>0.7</v>
      </c>
      <c r="C138" s="2">
        <v>-0.15490195998574299</v>
      </c>
      <c r="J138" s="2">
        <v>240</v>
      </c>
      <c r="K138" s="2">
        <v>0.77</v>
      </c>
      <c r="L138" s="2">
        <v>11</v>
      </c>
      <c r="M138" s="2" t="s">
        <v>524</v>
      </c>
    </row>
    <row r="139" spans="2:13" x14ac:dyDescent="0.55000000000000004">
      <c r="B139" s="1">
        <v>0.7</v>
      </c>
      <c r="C139" s="2">
        <v>-0.15490195998574299</v>
      </c>
      <c r="J139" s="2">
        <v>240</v>
      </c>
      <c r="K139" s="2">
        <v>0.18</v>
      </c>
      <c r="L139" s="2">
        <v>12</v>
      </c>
      <c r="M139" s="2" t="s">
        <v>524</v>
      </c>
    </row>
    <row r="140" spans="2:13" x14ac:dyDescent="0.55000000000000004">
      <c r="B140" s="1">
        <v>0.7</v>
      </c>
      <c r="C140" s="2">
        <v>-0.15490195998574299</v>
      </c>
      <c r="J140" s="2">
        <v>240</v>
      </c>
      <c r="K140" s="2">
        <v>0.56999999999999995</v>
      </c>
      <c r="L140" s="2">
        <v>13</v>
      </c>
      <c r="M140" s="2" t="s">
        <v>524</v>
      </c>
    </row>
    <row r="141" spans="2:13" x14ac:dyDescent="0.55000000000000004">
      <c r="B141" s="1">
        <v>0.7</v>
      </c>
      <c r="C141" s="2">
        <v>-0.15490195998574299</v>
      </c>
      <c r="J141" s="2">
        <v>240</v>
      </c>
      <c r="K141" s="2">
        <v>1.31</v>
      </c>
      <c r="L141" s="2">
        <v>14</v>
      </c>
      <c r="M141" s="2" t="s">
        <v>524</v>
      </c>
    </row>
    <row r="142" spans="2:13" x14ac:dyDescent="0.55000000000000004">
      <c r="B142" s="1">
        <v>0.7</v>
      </c>
      <c r="C142" s="2">
        <v>-0.15490195998574299</v>
      </c>
      <c r="J142" s="2">
        <v>300</v>
      </c>
      <c r="K142" s="2">
        <v>0.43</v>
      </c>
      <c r="L142" s="2">
        <v>1</v>
      </c>
      <c r="M142" s="2" t="s">
        <v>521</v>
      </c>
    </row>
    <row r="143" spans="2:13" x14ac:dyDescent="0.55000000000000004">
      <c r="B143" s="1">
        <v>0.7</v>
      </c>
      <c r="C143" s="2">
        <v>-0.15490195998574299</v>
      </c>
      <c r="J143" s="2">
        <v>300</v>
      </c>
      <c r="K143" s="2">
        <v>0.39</v>
      </c>
      <c r="L143" s="2">
        <v>2</v>
      </c>
      <c r="M143" s="2" t="s">
        <v>521</v>
      </c>
    </row>
    <row r="144" spans="2:13" x14ac:dyDescent="0.55000000000000004">
      <c r="B144" s="1">
        <v>0.7</v>
      </c>
      <c r="C144" s="2">
        <v>-0.15490195998574299</v>
      </c>
      <c r="J144" s="2">
        <v>300</v>
      </c>
      <c r="K144" s="2">
        <v>0.17</v>
      </c>
      <c r="L144" s="2">
        <v>3</v>
      </c>
      <c r="M144" s="2" t="s">
        <v>521</v>
      </c>
    </row>
    <row r="145" spans="2:13" x14ac:dyDescent="0.55000000000000004">
      <c r="B145" s="1">
        <v>0.7</v>
      </c>
      <c r="C145" s="2">
        <v>-0.15490195998574299</v>
      </c>
      <c r="J145" s="2">
        <v>300</v>
      </c>
      <c r="K145" s="2">
        <v>0.22</v>
      </c>
      <c r="L145" s="2">
        <v>4</v>
      </c>
      <c r="M145" s="2" t="s">
        <v>521</v>
      </c>
    </row>
    <row r="146" spans="2:13" x14ac:dyDescent="0.55000000000000004">
      <c r="B146" s="1">
        <v>0.7</v>
      </c>
      <c r="C146" s="2">
        <v>-0.15490195998574299</v>
      </c>
      <c r="J146" s="2">
        <v>300</v>
      </c>
      <c r="K146" s="2">
        <v>0.41</v>
      </c>
      <c r="L146" s="2">
        <v>5</v>
      </c>
      <c r="M146" s="2" t="s">
        <v>521</v>
      </c>
    </row>
    <row r="147" spans="2:13" x14ac:dyDescent="0.55000000000000004">
      <c r="B147" s="1">
        <v>0.7</v>
      </c>
      <c r="C147" s="2">
        <v>-0.15490195998574299</v>
      </c>
      <c r="J147" s="2">
        <v>300</v>
      </c>
      <c r="K147" s="2">
        <v>0.08</v>
      </c>
      <c r="L147" s="2">
        <v>6</v>
      </c>
      <c r="M147" s="2" t="s">
        <v>521</v>
      </c>
    </row>
    <row r="148" spans="2:13" x14ac:dyDescent="0.55000000000000004">
      <c r="B148" s="1">
        <v>0.7</v>
      </c>
      <c r="C148" s="2">
        <v>-0.15490195998574299</v>
      </c>
      <c r="J148" s="2">
        <v>300</v>
      </c>
      <c r="K148" s="2">
        <v>0.21</v>
      </c>
      <c r="L148" s="2">
        <v>7</v>
      </c>
      <c r="M148" s="2" t="s">
        <v>521</v>
      </c>
    </row>
    <row r="149" spans="2:13" x14ac:dyDescent="0.55000000000000004">
      <c r="B149" s="1">
        <v>0.7</v>
      </c>
      <c r="C149" s="2">
        <v>-0.15490195998574299</v>
      </c>
      <c r="J149" s="2">
        <v>300</v>
      </c>
      <c r="K149" s="2">
        <v>0.3</v>
      </c>
      <c r="L149" s="2">
        <v>8</v>
      </c>
      <c r="M149" s="2" t="s">
        <v>521</v>
      </c>
    </row>
    <row r="150" spans="2:13" x14ac:dyDescent="0.55000000000000004">
      <c r="B150" s="1">
        <v>0.7</v>
      </c>
      <c r="C150" s="2">
        <v>-0.15490195998574299</v>
      </c>
      <c r="J150" s="2">
        <v>300</v>
      </c>
      <c r="K150" s="2">
        <v>0.15</v>
      </c>
      <c r="L150" s="2">
        <v>9</v>
      </c>
      <c r="M150" s="2" t="s">
        <v>521</v>
      </c>
    </row>
    <row r="151" spans="2:13" x14ac:dyDescent="0.55000000000000004">
      <c r="B151" s="1">
        <v>0.7</v>
      </c>
      <c r="C151" s="2">
        <v>-0.15490195998574299</v>
      </c>
      <c r="J151" s="2">
        <v>300</v>
      </c>
      <c r="K151" s="2">
        <v>0.41</v>
      </c>
      <c r="L151" s="2">
        <v>10</v>
      </c>
      <c r="M151" s="2" t="s">
        <v>524</v>
      </c>
    </row>
    <row r="152" spans="2:13" x14ac:dyDescent="0.55000000000000004">
      <c r="B152" s="1">
        <v>0.7</v>
      </c>
      <c r="C152" s="2">
        <v>-0.15490195998574299</v>
      </c>
      <c r="J152" s="2">
        <v>300</v>
      </c>
      <c r="K152" s="2">
        <v>0.5</v>
      </c>
      <c r="L152" s="2">
        <v>11</v>
      </c>
      <c r="M152" s="2" t="s">
        <v>524</v>
      </c>
    </row>
    <row r="153" spans="2:13" x14ac:dyDescent="0.55000000000000004">
      <c r="B153" s="1">
        <v>0.7</v>
      </c>
      <c r="C153" s="2">
        <v>-0.15490195998574299</v>
      </c>
      <c r="J153" s="2">
        <v>300</v>
      </c>
      <c r="K153" s="2">
        <v>0.08</v>
      </c>
      <c r="L153" s="2">
        <v>12</v>
      </c>
      <c r="M153" s="2" t="s">
        <v>524</v>
      </c>
    </row>
    <row r="154" spans="2:13" x14ac:dyDescent="0.55000000000000004">
      <c r="B154" s="1">
        <v>0.7</v>
      </c>
      <c r="C154" s="2">
        <v>-0.15490195998574299</v>
      </c>
      <c r="J154" s="2">
        <v>300</v>
      </c>
      <c r="K154" s="2">
        <v>0.38</v>
      </c>
      <c r="L154" s="2">
        <v>13</v>
      </c>
      <c r="M154" s="2" t="s">
        <v>524</v>
      </c>
    </row>
    <row r="155" spans="2:13" x14ac:dyDescent="0.55000000000000004">
      <c r="B155" s="1">
        <v>0.7</v>
      </c>
      <c r="C155" s="2">
        <v>-0.15490195998574299</v>
      </c>
      <c r="J155" s="2">
        <v>300</v>
      </c>
      <c r="K155" s="2">
        <v>0.7</v>
      </c>
      <c r="L155" s="2">
        <v>14</v>
      </c>
      <c r="M155" s="2" t="s">
        <v>524</v>
      </c>
    </row>
    <row r="156" spans="2:13" x14ac:dyDescent="0.55000000000000004">
      <c r="B156" s="1">
        <v>0.7</v>
      </c>
      <c r="C156" s="2">
        <v>-0.15490195998574299</v>
      </c>
      <c r="J156" s="2">
        <v>360</v>
      </c>
      <c r="K156" s="2">
        <v>0.32</v>
      </c>
      <c r="L156" s="2">
        <v>1</v>
      </c>
      <c r="M156" s="2" t="s">
        <v>521</v>
      </c>
    </row>
    <row r="157" spans="2:13" x14ac:dyDescent="0.55000000000000004">
      <c r="B157" s="1">
        <v>0.7</v>
      </c>
      <c r="C157" s="2">
        <v>-0.15490195998574299</v>
      </c>
      <c r="J157" s="2">
        <v>360</v>
      </c>
      <c r="K157" s="2">
        <v>0.28000000000000003</v>
      </c>
      <c r="L157" s="2">
        <v>2</v>
      </c>
      <c r="M157" s="2" t="s">
        <v>521</v>
      </c>
    </row>
    <row r="158" spans="2:13" x14ac:dyDescent="0.55000000000000004">
      <c r="B158" s="1">
        <v>0.7</v>
      </c>
      <c r="C158" s="2">
        <v>-0.15490195998574299</v>
      </c>
      <c r="J158" s="2">
        <v>360</v>
      </c>
      <c r="K158" s="2">
        <v>0.11</v>
      </c>
      <c r="L158" s="2">
        <v>3</v>
      </c>
      <c r="M158" s="2" t="s">
        <v>521</v>
      </c>
    </row>
    <row r="159" spans="2:13" x14ac:dyDescent="0.55000000000000004">
      <c r="B159" s="1">
        <v>0.7</v>
      </c>
      <c r="C159" s="2">
        <v>-0.15490195998574299</v>
      </c>
      <c r="J159" s="2">
        <v>360</v>
      </c>
      <c r="K159" s="2">
        <v>0.12</v>
      </c>
      <c r="L159" s="2">
        <v>4</v>
      </c>
      <c r="M159" s="2" t="s">
        <v>521</v>
      </c>
    </row>
    <row r="160" spans="2:13" x14ac:dyDescent="0.55000000000000004">
      <c r="B160" s="1">
        <v>0.7</v>
      </c>
      <c r="C160" s="2">
        <v>-0.15490195998574299</v>
      </c>
      <c r="J160" s="2">
        <v>360</v>
      </c>
      <c r="K160" s="2">
        <v>0.42</v>
      </c>
      <c r="L160" s="2">
        <v>5</v>
      </c>
      <c r="M160" s="2" t="s">
        <v>521</v>
      </c>
    </row>
    <row r="161" spans="2:13" x14ac:dyDescent="0.55000000000000004">
      <c r="B161" s="1">
        <v>0.7</v>
      </c>
      <c r="C161" s="2">
        <v>-0.15490195998574299</v>
      </c>
      <c r="J161" s="2">
        <v>360</v>
      </c>
      <c r="K161" s="2">
        <v>0.08</v>
      </c>
      <c r="L161" s="2">
        <v>6</v>
      </c>
      <c r="M161" s="2" t="s">
        <v>521</v>
      </c>
    </row>
    <row r="162" spans="2:13" x14ac:dyDescent="0.55000000000000004">
      <c r="B162" s="1">
        <v>0.7</v>
      </c>
      <c r="C162" s="2">
        <v>-0.15490195998574299</v>
      </c>
      <c r="J162" s="2">
        <v>360</v>
      </c>
      <c r="K162" s="2">
        <v>0.18</v>
      </c>
      <c r="L162" s="2">
        <v>7</v>
      </c>
      <c r="M162" s="2" t="s">
        <v>521</v>
      </c>
    </row>
    <row r="163" spans="2:13" x14ac:dyDescent="0.55000000000000004">
      <c r="B163" s="1">
        <v>0.8</v>
      </c>
      <c r="C163" s="6">
        <v>-9.6910013008056406E-2</v>
      </c>
      <c r="J163" s="2">
        <v>360</v>
      </c>
      <c r="K163" s="2">
        <v>0.2</v>
      </c>
      <c r="L163" s="2">
        <v>8</v>
      </c>
      <c r="M163" s="2" t="s">
        <v>521</v>
      </c>
    </row>
    <row r="164" spans="2:13" x14ac:dyDescent="0.55000000000000004">
      <c r="B164" s="1">
        <v>0.8</v>
      </c>
      <c r="C164" s="6">
        <v>-9.6910013008056406E-2</v>
      </c>
      <c r="J164" s="2">
        <v>360</v>
      </c>
      <c r="K164" s="2">
        <v>0.08</v>
      </c>
      <c r="L164" s="2">
        <v>9</v>
      </c>
      <c r="M164" s="2" t="s">
        <v>521</v>
      </c>
    </row>
    <row r="165" spans="2:13" x14ac:dyDescent="0.55000000000000004">
      <c r="B165" s="1">
        <v>0.8</v>
      </c>
      <c r="C165" s="6">
        <v>-9.6910013008056406E-2</v>
      </c>
      <c r="J165" s="2">
        <v>360</v>
      </c>
      <c r="K165" s="2">
        <v>0.28999999999999998</v>
      </c>
      <c r="L165" s="2">
        <v>10</v>
      </c>
      <c r="M165" s="2" t="s">
        <v>524</v>
      </c>
    </row>
    <row r="166" spans="2:13" x14ac:dyDescent="0.55000000000000004">
      <c r="B166" s="1">
        <v>0.8</v>
      </c>
      <c r="C166" s="6">
        <v>-9.6910013008056406E-2</v>
      </c>
      <c r="J166" s="2">
        <v>360</v>
      </c>
      <c r="K166" s="2">
        <v>0.28000000000000003</v>
      </c>
      <c r="L166" s="2">
        <v>11</v>
      </c>
      <c r="M166" s="2" t="s">
        <v>524</v>
      </c>
    </row>
    <row r="167" spans="2:13" x14ac:dyDescent="0.55000000000000004">
      <c r="B167" s="1">
        <v>0.8</v>
      </c>
      <c r="C167" s="6">
        <v>-9.6910013008056406E-2</v>
      </c>
      <c r="J167" s="2">
        <v>360</v>
      </c>
      <c r="K167" s="2">
        <v>0.08</v>
      </c>
      <c r="L167" s="2">
        <v>12</v>
      </c>
      <c r="M167" s="2" t="s">
        <v>524</v>
      </c>
    </row>
    <row r="168" spans="2:13" x14ac:dyDescent="0.55000000000000004">
      <c r="B168" s="1">
        <v>0.8</v>
      </c>
      <c r="C168" s="6">
        <v>-9.6910013008056406E-2</v>
      </c>
      <c r="J168" s="2">
        <v>360</v>
      </c>
      <c r="K168" s="2">
        <v>0.25</v>
      </c>
      <c r="L168" s="2">
        <v>13</v>
      </c>
      <c r="M168" s="2" t="s">
        <v>524</v>
      </c>
    </row>
    <row r="169" spans="2:13" x14ac:dyDescent="0.55000000000000004">
      <c r="B169" s="1">
        <v>0.8</v>
      </c>
      <c r="C169" s="6">
        <v>-9.6910013008056406E-2</v>
      </c>
      <c r="J169" s="2">
        <v>360</v>
      </c>
      <c r="K169" s="2">
        <v>0.37</v>
      </c>
      <c r="L169" s="2">
        <v>14</v>
      </c>
      <c r="M169" s="2" t="s">
        <v>524</v>
      </c>
    </row>
    <row r="170" spans="2:13" x14ac:dyDescent="0.55000000000000004">
      <c r="B170" s="1">
        <v>0.8</v>
      </c>
      <c r="C170" s="6">
        <v>-9.6910013008056406E-2</v>
      </c>
    </row>
    <row r="171" spans="2:13" x14ac:dyDescent="0.55000000000000004">
      <c r="B171" s="1">
        <v>0.8</v>
      </c>
      <c r="C171" s="6">
        <v>-9.6910013008056406E-2</v>
      </c>
    </row>
    <row r="172" spans="2:13" x14ac:dyDescent="0.55000000000000004">
      <c r="B172" s="1">
        <v>0.8</v>
      </c>
      <c r="C172" s="6">
        <v>-9.6910013008056406E-2</v>
      </c>
    </row>
    <row r="173" spans="2:13" x14ac:dyDescent="0.55000000000000004">
      <c r="B173" s="1">
        <v>0.8</v>
      </c>
      <c r="C173" s="6">
        <v>-9.6910013008056406E-2</v>
      </c>
    </row>
    <row r="174" spans="2:13" x14ac:dyDescent="0.55000000000000004">
      <c r="B174" s="1">
        <v>0.8</v>
      </c>
      <c r="C174" s="6">
        <v>-9.6910013008056406E-2</v>
      </c>
    </row>
    <row r="175" spans="2:13" x14ac:dyDescent="0.55000000000000004">
      <c r="B175" s="1">
        <v>0.8</v>
      </c>
      <c r="C175" s="6">
        <v>-9.6910013008056406E-2</v>
      </c>
    </row>
    <row r="176" spans="2:13" x14ac:dyDescent="0.55000000000000004">
      <c r="B176" s="1">
        <v>0.8</v>
      </c>
      <c r="C176" s="6">
        <v>-9.6910013008056406E-2</v>
      </c>
    </row>
    <row r="177" spans="2:3" x14ac:dyDescent="0.55000000000000004">
      <c r="B177" s="1">
        <v>0.8</v>
      </c>
      <c r="C177" s="6">
        <v>-9.6910013008056406E-2</v>
      </c>
    </row>
    <row r="178" spans="2:3" x14ac:dyDescent="0.55000000000000004">
      <c r="B178" s="1">
        <v>0.8</v>
      </c>
      <c r="C178" s="6">
        <v>-9.6910013008056406E-2</v>
      </c>
    </row>
    <row r="179" spans="2:3" x14ac:dyDescent="0.55000000000000004">
      <c r="B179" s="1">
        <v>0.8</v>
      </c>
      <c r="C179" s="6">
        <v>-9.6910013008056406E-2</v>
      </c>
    </row>
    <row r="180" spans="2:3" x14ac:dyDescent="0.55000000000000004">
      <c r="B180" s="1">
        <v>0.8</v>
      </c>
      <c r="C180" s="6">
        <v>-9.6910013008056406E-2</v>
      </c>
    </row>
    <row r="181" spans="2:3" x14ac:dyDescent="0.55000000000000004">
      <c r="B181" s="1">
        <v>0.8</v>
      </c>
      <c r="C181" s="6">
        <v>-9.6910013008056406E-2</v>
      </c>
    </row>
    <row r="182" spans="2:3" x14ac:dyDescent="0.55000000000000004">
      <c r="B182" s="1">
        <v>0.8</v>
      </c>
      <c r="C182" s="6">
        <v>-9.6910013008056406E-2</v>
      </c>
    </row>
    <row r="183" spans="2:3" x14ac:dyDescent="0.55000000000000004">
      <c r="B183" s="1">
        <v>0.8</v>
      </c>
      <c r="C183" s="6">
        <v>-9.6910013008056406E-2</v>
      </c>
    </row>
    <row r="184" spans="2:3" x14ac:dyDescent="0.55000000000000004">
      <c r="B184" s="1">
        <v>0.8</v>
      </c>
      <c r="C184" s="6">
        <v>-9.6910013008056406E-2</v>
      </c>
    </row>
    <row r="185" spans="2:3" x14ac:dyDescent="0.55000000000000004">
      <c r="B185" s="1">
        <v>0.8</v>
      </c>
      <c r="C185" s="6">
        <v>-9.6910013008056406E-2</v>
      </c>
    </row>
    <row r="186" spans="2:3" x14ac:dyDescent="0.55000000000000004">
      <c r="B186" s="1">
        <v>0.8</v>
      </c>
      <c r="C186" s="6">
        <v>-9.6910013008056406E-2</v>
      </c>
    </row>
    <row r="187" spans="2:3" x14ac:dyDescent="0.55000000000000004">
      <c r="B187" s="1">
        <v>0.8</v>
      </c>
      <c r="C187" s="6">
        <v>-9.6910013008056406E-2</v>
      </c>
    </row>
    <row r="188" spans="2:3" x14ac:dyDescent="0.55000000000000004">
      <c r="B188" s="1">
        <v>0.8</v>
      </c>
      <c r="C188" s="6">
        <v>-9.6910013008056406E-2</v>
      </c>
    </row>
    <row r="189" spans="2:3" x14ac:dyDescent="0.55000000000000004">
      <c r="B189" s="1">
        <v>0.8</v>
      </c>
      <c r="C189" s="6">
        <v>-9.6910013008056406E-2</v>
      </c>
    </row>
    <row r="190" spans="2:3" x14ac:dyDescent="0.55000000000000004">
      <c r="B190" s="1">
        <v>0.8</v>
      </c>
      <c r="C190" s="6">
        <v>-9.6910013008056406E-2</v>
      </c>
    </row>
    <row r="191" spans="2:3" x14ac:dyDescent="0.55000000000000004">
      <c r="B191" s="1">
        <v>0.8</v>
      </c>
      <c r="C191" s="6">
        <v>-9.6910013008056406E-2</v>
      </c>
    </row>
    <row r="192" spans="2:3" x14ac:dyDescent="0.55000000000000004">
      <c r="B192" s="1">
        <v>0.8</v>
      </c>
      <c r="C192" s="6">
        <v>-9.6910013008056406E-2</v>
      </c>
    </row>
    <row r="193" spans="2:3" x14ac:dyDescent="0.55000000000000004">
      <c r="B193" s="1">
        <v>0.8</v>
      </c>
      <c r="C193" s="6">
        <v>-9.6910013008056406E-2</v>
      </c>
    </row>
    <row r="194" spans="2:3" x14ac:dyDescent="0.55000000000000004">
      <c r="B194" s="1">
        <v>0.8</v>
      </c>
      <c r="C194" s="6">
        <v>-9.6910013008056406E-2</v>
      </c>
    </row>
    <row r="195" spans="2:3" x14ac:dyDescent="0.55000000000000004">
      <c r="B195" s="1">
        <v>0.8</v>
      </c>
      <c r="C195" s="6">
        <v>-9.6910013008056406E-2</v>
      </c>
    </row>
    <row r="196" spans="2:3" x14ac:dyDescent="0.55000000000000004">
      <c r="B196" s="1">
        <v>0.8</v>
      </c>
      <c r="C196" s="6">
        <v>-9.6910013008056406E-2</v>
      </c>
    </row>
    <row r="197" spans="2:3" x14ac:dyDescent="0.55000000000000004">
      <c r="B197" s="1">
        <v>0.8</v>
      </c>
      <c r="C197" s="6">
        <v>-9.6910013008056406E-2</v>
      </c>
    </row>
    <row r="198" spans="2:3" x14ac:dyDescent="0.55000000000000004">
      <c r="B198" s="1">
        <v>0.8</v>
      </c>
      <c r="C198" s="6">
        <v>-9.6910013008056406E-2</v>
      </c>
    </row>
    <row r="199" spans="2:3" x14ac:dyDescent="0.55000000000000004">
      <c r="B199" s="1">
        <v>0.8</v>
      </c>
      <c r="C199" s="6">
        <v>-9.6910013008056406E-2</v>
      </c>
    </row>
    <row r="200" spans="2:3" x14ac:dyDescent="0.55000000000000004">
      <c r="B200" s="1">
        <v>0.8</v>
      </c>
      <c r="C200" s="6">
        <v>-9.6910013008056406E-2</v>
      </c>
    </row>
    <row r="201" spans="2:3" x14ac:dyDescent="0.55000000000000004">
      <c r="B201" s="1">
        <v>0.9</v>
      </c>
      <c r="C201" s="6">
        <v>-4.5757490560675101E-2</v>
      </c>
    </row>
    <row r="202" spans="2:3" x14ac:dyDescent="0.55000000000000004">
      <c r="B202" s="1">
        <v>0.9</v>
      </c>
      <c r="C202" s="6">
        <v>-4.5757490560675101E-2</v>
      </c>
    </row>
    <row r="203" spans="2:3" x14ac:dyDescent="0.55000000000000004">
      <c r="B203" s="1">
        <v>0.9</v>
      </c>
      <c r="C203" s="6">
        <v>-4.5757490560675101E-2</v>
      </c>
    </row>
    <row r="204" spans="2:3" x14ac:dyDescent="0.55000000000000004">
      <c r="B204" s="1">
        <v>0.9</v>
      </c>
      <c r="C204" s="6">
        <v>-4.5757490560675101E-2</v>
      </c>
    </row>
    <row r="205" spans="2:3" x14ac:dyDescent="0.55000000000000004">
      <c r="B205" s="1">
        <v>0.9</v>
      </c>
      <c r="C205" s="6">
        <v>-4.5757490560675101E-2</v>
      </c>
    </row>
    <row r="206" spans="2:3" x14ac:dyDescent="0.55000000000000004">
      <c r="B206" s="1">
        <v>0.9</v>
      </c>
      <c r="C206" s="6">
        <v>-4.5757490560675101E-2</v>
      </c>
    </row>
    <row r="207" spans="2:3" x14ac:dyDescent="0.55000000000000004">
      <c r="B207" s="1">
        <v>0.9</v>
      </c>
      <c r="C207" s="6">
        <v>-4.5757490560675101E-2</v>
      </c>
    </row>
    <row r="208" spans="2:3" x14ac:dyDescent="0.55000000000000004">
      <c r="B208" s="1">
        <v>0.9</v>
      </c>
      <c r="C208" s="6">
        <v>-4.5757490560675101E-2</v>
      </c>
    </row>
    <row r="209" spans="2:3" x14ac:dyDescent="0.55000000000000004">
      <c r="B209" s="1">
        <v>0.9</v>
      </c>
      <c r="C209" s="6">
        <v>-4.5757490560675101E-2</v>
      </c>
    </row>
    <row r="210" spans="2:3" x14ac:dyDescent="0.55000000000000004">
      <c r="B210" s="1">
        <v>0.9</v>
      </c>
      <c r="C210" s="6">
        <v>-4.5757490560675101E-2</v>
      </c>
    </row>
    <row r="211" spans="2:3" x14ac:dyDescent="0.55000000000000004">
      <c r="B211" s="1">
        <v>0.9</v>
      </c>
      <c r="C211" s="6">
        <v>-4.5757490560675101E-2</v>
      </c>
    </row>
    <row r="212" spans="2:3" x14ac:dyDescent="0.55000000000000004">
      <c r="B212" s="1">
        <v>0.9</v>
      </c>
      <c r="C212" s="6">
        <v>-4.5757490560675101E-2</v>
      </c>
    </row>
    <row r="213" spans="2:3" x14ac:dyDescent="0.55000000000000004">
      <c r="B213" s="1">
        <v>0.9</v>
      </c>
      <c r="C213" s="6">
        <v>-4.5757490560675101E-2</v>
      </c>
    </row>
    <row r="214" spans="2:3" x14ac:dyDescent="0.55000000000000004">
      <c r="B214" s="1">
        <v>0.9</v>
      </c>
      <c r="C214" s="6">
        <v>-4.5757490560675101E-2</v>
      </c>
    </row>
    <row r="215" spans="2:3" x14ac:dyDescent="0.55000000000000004">
      <c r="B215" s="1">
        <v>0.9</v>
      </c>
      <c r="C215" s="6">
        <v>-4.5757490560675101E-2</v>
      </c>
    </row>
    <row r="216" spans="2:3" x14ac:dyDescent="0.55000000000000004">
      <c r="B216" s="1">
        <v>0.9</v>
      </c>
      <c r="C216" s="6">
        <v>-4.5757490560675101E-2</v>
      </c>
    </row>
    <row r="217" spans="2:3" x14ac:dyDescent="0.55000000000000004">
      <c r="B217" s="1">
        <v>0.9</v>
      </c>
      <c r="C217" s="6">
        <v>-4.5757490560675101E-2</v>
      </c>
    </row>
    <row r="218" spans="2:3" x14ac:dyDescent="0.55000000000000004">
      <c r="B218" s="1">
        <v>0.9</v>
      </c>
      <c r="C218" s="6">
        <v>-4.5757490560675101E-2</v>
      </c>
    </row>
    <row r="219" spans="2:3" x14ac:dyDescent="0.55000000000000004">
      <c r="B219" s="1">
        <v>0.9</v>
      </c>
      <c r="C219" s="6">
        <v>-4.5757490560675101E-2</v>
      </c>
    </row>
    <row r="220" spans="2:3" x14ac:dyDescent="0.55000000000000004">
      <c r="B220" s="1">
        <v>0.9</v>
      </c>
      <c r="C220" s="6">
        <v>-4.5757490560675101E-2</v>
      </c>
    </row>
    <row r="221" spans="2:3" x14ac:dyDescent="0.55000000000000004">
      <c r="B221" s="1">
        <v>0.9</v>
      </c>
      <c r="C221" s="6">
        <v>-4.5757490560675101E-2</v>
      </c>
    </row>
    <row r="222" spans="2:3" x14ac:dyDescent="0.55000000000000004">
      <c r="B222" s="1">
        <v>0.9</v>
      </c>
      <c r="C222" s="6">
        <v>-4.5757490560675101E-2</v>
      </c>
    </row>
    <row r="223" spans="2:3" x14ac:dyDescent="0.55000000000000004">
      <c r="B223" s="1">
        <v>1</v>
      </c>
      <c r="C223" s="2">
        <v>0</v>
      </c>
    </row>
    <row r="224" spans="2:3" x14ac:dyDescent="0.55000000000000004">
      <c r="B224" s="1">
        <v>1</v>
      </c>
      <c r="C224" s="2">
        <v>0</v>
      </c>
    </row>
    <row r="225" spans="2:3" x14ac:dyDescent="0.55000000000000004">
      <c r="B225" s="1">
        <v>1</v>
      </c>
      <c r="C225" s="2">
        <v>0</v>
      </c>
    </row>
    <row r="226" spans="2:3" x14ac:dyDescent="0.55000000000000004">
      <c r="B226" s="1">
        <v>1</v>
      </c>
      <c r="C226" s="2">
        <v>0</v>
      </c>
    </row>
    <row r="227" spans="2:3" x14ac:dyDescent="0.55000000000000004">
      <c r="B227" s="1">
        <v>1</v>
      </c>
      <c r="C227" s="2">
        <v>0</v>
      </c>
    </row>
    <row r="228" spans="2:3" x14ac:dyDescent="0.55000000000000004">
      <c r="B228" s="1">
        <v>1</v>
      </c>
      <c r="C228" s="2">
        <v>0</v>
      </c>
    </row>
    <row r="229" spans="2:3" x14ac:dyDescent="0.55000000000000004">
      <c r="B229" s="1">
        <v>1</v>
      </c>
      <c r="C229" s="2">
        <v>0</v>
      </c>
    </row>
    <row r="230" spans="2:3" x14ac:dyDescent="0.55000000000000004">
      <c r="B230" s="1">
        <v>1</v>
      </c>
      <c r="C230" s="2">
        <v>0</v>
      </c>
    </row>
    <row r="231" spans="2:3" x14ac:dyDescent="0.55000000000000004">
      <c r="B231" s="1">
        <v>1</v>
      </c>
      <c r="C231" s="2">
        <v>0</v>
      </c>
    </row>
    <row r="232" spans="2:3" x14ac:dyDescent="0.55000000000000004">
      <c r="B232" s="1">
        <v>1</v>
      </c>
      <c r="C232" s="2">
        <v>0</v>
      </c>
    </row>
    <row r="233" spans="2:3" x14ac:dyDescent="0.55000000000000004">
      <c r="B233" s="1">
        <v>1</v>
      </c>
      <c r="C233" s="2">
        <v>0</v>
      </c>
    </row>
    <row r="234" spans="2:3" x14ac:dyDescent="0.55000000000000004">
      <c r="B234" s="1">
        <v>1</v>
      </c>
      <c r="C234" s="2">
        <v>0</v>
      </c>
    </row>
    <row r="235" spans="2:3" x14ac:dyDescent="0.55000000000000004">
      <c r="B235" s="1">
        <v>1</v>
      </c>
      <c r="C235" s="2">
        <v>0</v>
      </c>
    </row>
    <row r="236" spans="2:3" x14ac:dyDescent="0.55000000000000004">
      <c r="B236" s="1">
        <v>1</v>
      </c>
      <c r="C236" s="2">
        <v>0</v>
      </c>
    </row>
    <row r="237" spans="2:3" x14ac:dyDescent="0.55000000000000004">
      <c r="B237" s="1">
        <v>1</v>
      </c>
      <c r="C237" s="2">
        <v>0</v>
      </c>
    </row>
    <row r="238" spans="2:3" x14ac:dyDescent="0.55000000000000004">
      <c r="B238" s="1">
        <v>1</v>
      </c>
      <c r="C238" s="2">
        <v>0</v>
      </c>
    </row>
    <row r="239" spans="2:3" x14ac:dyDescent="0.55000000000000004">
      <c r="B239" s="1">
        <v>1.1000000000000001</v>
      </c>
      <c r="C239" s="6">
        <v>4.1392685158225098E-2</v>
      </c>
    </row>
    <row r="240" spans="2:3" x14ac:dyDescent="0.55000000000000004">
      <c r="B240" s="1">
        <v>1.1000000000000001</v>
      </c>
      <c r="C240" s="6">
        <v>4.1392685158225098E-2</v>
      </c>
    </row>
    <row r="241" spans="2:3" x14ac:dyDescent="0.55000000000000004">
      <c r="B241" s="1">
        <v>1.1000000000000001</v>
      </c>
      <c r="C241" s="6">
        <v>4.1392685158225098E-2</v>
      </c>
    </row>
    <row r="242" spans="2:3" x14ac:dyDescent="0.55000000000000004">
      <c r="B242" s="1">
        <v>1.1000000000000001</v>
      </c>
      <c r="C242" s="6">
        <v>4.1392685158225098E-2</v>
      </c>
    </row>
    <row r="243" spans="2:3" x14ac:dyDescent="0.55000000000000004">
      <c r="B243" s="1">
        <v>1.1000000000000001</v>
      </c>
      <c r="C243" s="6">
        <v>4.1392685158225098E-2</v>
      </c>
    </row>
    <row r="244" spans="2:3" x14ac:dyDescent="0.55000000000000004">
      <c r="B244" s="1">
        <v>1.1000000000000001</v>
      </c>
      <c r="C244" s="6">
        <v>4.1392685158225098E-2</v>
      </c>
    </row>
    <row r="245" spans="2:3" x14ac:dyDescent="0.55000000000000004">
      <c r="B245" s="1">
        <v>1.1000000000000001</v>
      </c>
      <c r="C245" s="6">
        <v>4.1392685158225098E-2</v>
      </c>
    </row>
    <row r="246" spans="2:3" x14ac:dyDescent="0.55000000000000004">
      <c r="B246" s="1">
        <v>1.1000000000000001</v>
      </c>
      <c r="C246" s="6">
        <v>4.1392685158225098E-2</v>
      </c>
    </row>
    <row r="247" spans="2:3" x14ac:dyDescent="0.55000000000000004">
      <c r="B247" s="1">
        <v>1.1000000000000001</v>
      </c>
      <c r="C247" s="6">
        <v>4.1392685158225098E-2</v>
      </c>
    </row>
    <row r="248" spans="2:3" x14ac:dyDescent="0.55000000000000004">
      <c r="B248" s="1">
        <v>1.1000000000000001</v>
      </c>
      <c r="C248" s="6">
        <v>4.1392685158225098E-2</v>
      </c>
    </row>
    <row r="249" spans="2:3" x14ac:dyDescent="0.55000000000000004">
      <c r="B249" s="1">
        <v>1.1000000000000001</v>
      </c>
      <c r="C249" s="6">
        <v>4.1392685158225098E-2</v>
      </c>
    </row>
    <row r="250" spans="2:3" x14ac:dyDescent="0.55000000000000004">
      <c r="B250" s="1">
        <v>1.1000000000000001</v>
      </c>
      <c r="C250" s="6">
        <v>4.1392685158225098E-2</v>
      </c>
    </row>
    <row r="251" spans="2:3" x14ac:dyDescent="0.55000000000000004">
      <c r="B251" s="1">
        <v>1.1000000000000001</v>
      </c>
      <c r="C251" s="6">
        <v>4.1392685158225098E-2</v>
      </c>
    </row>
    <row r="252" spans="2:3" x14ac:dyDescent="0.55000000000000004">
      <c r="B252" s="1">
        <v>1.1000000000000001</v>
      </c>
      <c r="C252" s="6">
        <v>4.1392685158225098E-2</v>
      </c>
    </row>
    <row r="253" spans="2:3" x14ac:dyDescent="0.55000000000000004">
      <c r="B253" s="1">
        <v>1.1000000000000001</v>
      </c>
      <c r="C253" s="6">
        <v>4.1392685158225098E-2</v>
      </c>
    </row>
    <row r="254" spans="2:3" x14ac:dyDescent="0.55000000000000004">
      <c r="B254" s="1">
        <v>1.1000000000000001</v>
      </c>
      <c r="C254" s="6">
        <v>4.1392685158225098E-2</v>
      </c>
    </row>
    <row r="255" spans="2:3" x14ac:dyDescent="0.55000000000000004">
      <c r="B255" s="1">
        <v>1.2</v>
      </c>
      <c r="C255" s="6">
        <v>7.9181246047624804E-2</v>
      </c>
    </row>
    <row r="256" spans="2:3" x14ac:dyDescent="0.55000000000000004">
      <c r="B256" s="1">
        <v>1.2</v>
      </c>
      <c r="C256" s="6">
        <v>7.9181246047624804E-2</v>
      </c>
    </row>
    <row r="257" spans="2:3" x14ac:dyDescent="0.55000000000000004">
      <c r="B257" s="1">
        <v>1.2</v>
      </c>
      <c r="C257" s="6">
        <v>7.9181246047624804E-2</v>
      </c>
    </row>
    <row r="258" spans="2:3" x14ac:dyDescent="0.55000000000000004">
      <c r="B258" s="1">
        <v>1.2</v>
      </c>
      <c r="C258" s="6">
        <v>7.9181246047624804E-2</v>
      </c>
    </row>
    <row r="259" spans="2:3" x14ac:dyDescent="0.55000000000000004">
      <c r="B259" s="1">
        <v>1.2</v>
      </c>
      <c r="C259" s="6">
        <v>7.9181246047624804E-2</v>
      </c>
    </row>
    <row r="260" spans="2:3" x14ac:dyDescent="0.55000000000000004">
      <c r="B260" s="1">
        <v>1.2</v>
      </c>
      <c r="C260" s="6">
        <v>7.9181246047624804E-2</v>
      </c>
    </row>
    <row r="261" spans="2:3" x14ac:dyDescent="0.55000000000000004">
      <c r="B261" s="1">
        <v>1.3</v>
      </c>
      <c r="C261" s="2">
        <v>0.113943352306837</v>
      </c>
    </row>
    <row r="262" spans="2:3" x14ac:dyDescent="0.55000000000000004">
      <c r="B262" s="1">
        <v>1.3</v>
      </c>
      <c r="C262" s="2">
        <v>0.113943352306837</v>
      </c>
    </row>
    <row r="263" spans="2:3" x14ac:dyDescent="0.55000000000000004">
      <c r="B263" s="1">
        <v>1.3</v>
      </c>
      <c r="C263" s="2">
        <v>0.113943352306837</v>
      </c>
    </row>
    <row r="264" spans="2:3" x14ac:dyDescent="0.55000000000000004">
      <c r="B264" s="1">
        <v>1.3</v>
      </c>
      <c r="C264" s="2">
        <v>0.113943352306837</v>
      </c>
    </row>
    <row r="265" spans="2:3" x14ac:dyDescent="0.55000000000000004">
      <c r="B265" s="1">
        <v>1.3</v>
      </c>
      <c r="C265" s="2">
        <v>0.113943352306837</v>
      </c>
    </row>
    <row r="266" spans="2:3" x14ac:dyDescent="0.55000000000000004">
      <c r="B266" s="1">
        <v>1.3</v>
      </c>
      <c r="C266" s="2">
        <v>0.113943352306837</v>
      </c>
    </row>
    <row r="267" spans="2:3" x14ac:dyDescent="0.55000000000000004">
      <c r="B267" s="1">
        <v>1.3</v>
      </c>
      <c r="C267" s="2">
        <v>0.113943352306837</v>
      </c>
    </row>
    <row r="268" spans="2:3" x14ac:dyDescent="0.55000000000000004">
      <c r="B268" s="1">
        <v>1.4</v>
      </c>
      <c r="C268" s="2">
        <v>0.14612803567823801</v>
      </c>
    </row>
    <row r="269" spans="2:3" x14ac:dyDescent="0.55000000000000004">
      <c r="B269" s="1">
        <v>1.4</v>
      </c>
      <c r="C269" s="2">
        <v>0.14612803567823801</v>
      </c>
    </row>
    <row r="270" spans="2:3" x14ac:dyDescent="0.55000000000000004">
      <c r="B270" s="1">
        <v>1.4</v>
      </c>
      <c r="C270" s="2">
        <v>0.14612803567823801</v>
      </c>
    </row>
    <row r="271" spans="2:3" x14ac:dyDescent="0.55000000000000004">
      <c r="B271" s="1">
        <v>1.4</v>
      </c>
      <c r="C271" s="2">
        <v>0.14612803567823801</v>
      </c>
    </row>
    <row r="272" spans="2:3" x14ac:dyDescent="0.55000000000000004">
      <c r="B272" s="1">
        <v>1.4</v>
      </c>
      <c r="C272" s="2">
        <v>0.14612803567823801</v>
      </c>
    </row>
    <row r="273" spans="2:3" x14ac:dyDescent="0.55000000000000004">
      <c r="B273" s="1">
        <v>1.4</v>
      </c>
      <c r="C273" s="2">
        <v>0.14612803567823801</v>
      </c>
    </row>
    <row r="274" spans="2:3" x14ac:dyDescent="0.55000000000000004">
      <c r="B274" s="1">
        <v>1.4</v>
      </c>
      <c r="C274" s="2">
        <v>0.14612803567823801</v>
      </c>
    </row>
    <row r="275" spans="2:3" x14ac:dyDescent="0.55000000000000004">
      <c r="B275" s="1">
        <v>1.4</v>
      </c>
      <c r="C275" s="2">
        <v>0.14612803567823801</v>
      </c>
    </row>
    <row r="276" spans="2:3" x14ac:dyDescent="0.55000000000000004">
      <c r="B276" s="1">
        <v>1.4</v>
      </c>
      <c r="C276" s="2">
        <v>0.14612803567823801</v>
      </c>
    </row>
    <row r="277" spans="2:3" x14ac:dyDescent="0.55000000000000004">
      <c r="B277" s="1">
        <v>1.5</v>
      </c>
      <c r="C277" s="2">
        <v>0.17609125905568099</v>
      </c>
    </row>
    <row r="278" spans="2:3" x14ac:dyDescent="0.55000000000000004">
      <c r="B278" s="1">
        <v>1.5</v>
      </c>
      <c r="C278" s="2">
        <v>0.17609125905568099</v>
      </c>
    </row>
    <row r="279" spans="2:3" x14ac:dyDescent="0.55000000000000004">
      <c r="B279" s="1">
        <v>1.5</v>
      </c>
      <c r="C279" s="2">
        <v>0.17609125905568099</v>
      </c>
    </row>
    <row r="280" spans="2:3" x14ac:dyDescent="0.55000000000000004">
      <c r="B280" s="1">
        <v>1.5</v>
      </c>
      <c r="C280" s="2">
        <v>0.17609125905568099</v>
      </c>
    </row>
    <row r="281" spans="2:3" x14ac:dyDescent="0.55000000000000004">
      <c r="B281" s="1">
        <v>1.5</v>
      </c>
      <c r="C281" s="2">
        <v>0.17609125905568099</v>
      </c>
    </row>
    <row r="282" spans="2:3" x14ac:dyDescent="0.55000000000000004">
      <c r="B282" s="1">
        <v>1.5</v>
      </c>
      <c r="C282" s="2">
        <v>0.17609125905568099</v>
      </c>
    </row>
    <row r="283" spans="2:3" x14ac:dyDescent="0.55000000000000004">
      <c r="B283" s="1">
        <v>1.6</v>
      </c>
      <c r="C283" s="2">
        <v>0.20411998265592499</v>
      </c>
    </row>
    <row r="284" spans="2:3" x14ac:dyDescent="0.55000000000000004">
      <c r="B284" s="1">
        <v>1.6</v>
      </c>
      <c r="C284" s="2">
        <v>0.20411998265592499</v>
      </c>
    </row>
    <row r="285" spans="2:3" x14ac:dyDescent="0.55000000000000004">
      <c r="B285" s="1">
        <v>1.7</v>
      </c>
      <c r="C285" s="2">
        <v>0.230448921378274</v>
      </c>
    </row>
    <row r="286" spans="2:3" x14ac:dyDescent="0.55000000000000004">
      <c r="B286" s="1">
        <v>1.7</v>
      </c>
      <c r="C286" s="2">
        <v>0.230448921378274</v>
      </c>
    </row>
    <row r="287" spans="2:3" x14ac:dyDescent="0.55000000000000004">
      <c r="B287" s="1">
        <v>1.7</v>
      </c>
      <c r="C287" s="2">
        <v>0.230448921378274</v>
      </c>
    </row>
    <row r="288" spans="2:3" x14ac:dyDescent="0.55000000000000004">
      <c r="B288" s="1">
        <v>1.8</v>
      </c>
      <c r="C288" s="2">
        <v>0.25527250510330601</v>
      </c>
    </row>
    <row r="289" spans="2:3" x14ac:dyDescent="0.55000000000000004">
      <c r="B289" s="1">
        <v>1.8</v>
      </c>
      <c r="C289" s="2">
        <v>0.25527250510330601</v>
      </c>
    </row>
    <row r="290" spans="2:3" x14ac:dyDescent="0.55000000000000004">
      <c r="B290" s="1">
        <v>1.8</v>
      </c>
      <c r="C290" s="2">
        <v>0.25527250510330601</v>
      </c>
    </row>
    <row r="291" spans="2:3" x14ac:dyDescent="0.55000000000000004">
      <c r="B291" s="1">
        <v>2</v>
      </c>
      <c r="C291" s="2">
        <v>0.30102999566398098</v>
      </c>
    </row>
    <row r="292" spans="2:3" x14ac:dyDescent="0.55000000000000004">
      <c r="B292" s="1">
        <v>2</v>
      </c>
      <c r="C292" s="2">
        <v>0.30102999566398098</v>
      </c>
    </row>
    <row r="293" spans="2:3" x14ac:dyDescent="0.55000000000000004">
      <c r="B293" s="1">
        <v>2</v>
      </c>
      <c r="C293" s="2">
        <v>0.30102999566398098</v>
      </c>
    </row>
    <row r="294" spans="2:3" x14ac:dyDescent="0.55000000000000004">
      <c r="B294" s="1">
        <v>2.1</v>
      </c>
      <c r="C294" s="2">
        <v>0.32221929473391903</v>
      </c>
    </row>
    <row r="295" spans="2:3" x14ac:dyDescent="0.55000000000000004">
      <c r="B295" s="1">
        <v>2.1</v>
      </c>
      <c r="C295" s="2">
        <v>0.32221929473391903</v>
      </c>
    </row>
    <row r="296" spans="2:3" x14ac:dyDescent="0.55000000000000004">
      <c r="B296" s="1">
        <v>2.2000000000000002</v>
      </c>
      <c r="C296" s="2">
        <v>0.342422680822206</v>
      </c>
    </row>
    <row r="297" spans="2:3" x14ac:dyDescent="0.55000000000000004">
      <c r="B297" s="1">
        <v>2.5</v>
      </c>
      <c r="C297" s="2">
        <v>0.39794000867203799</v>
      </c>
    </row>
    <row r="298" spans="2:3" x14ac:dyDescent="0.55000000000000004">
      <c r="B298" s="1">
        <v>2.7</v>
      </c>
      <c r="C298" s="2">
        <v>0.43136376415898697</v>
      </c>
    </row>
    <row r="299" spans="2:3" x14ac:dyDescent="0.55000000000000004">
      <c r="B299" s="1">
        <v>4.5</v>
      </c>
      <c r="C299" s="2">
        <v>0.65321251377534395</v>
      </c>
    </row>
  </sheetData>
  <printOptions gridLines="1"/>
  <pageMargins left="0.75" right="0.75" top="1" bottom="1" header="3.0594765554474019E-308" footer="0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Parametric</vt:lpstr>
      <vt:lpstr>Nonparametric</vt:lpstr>
      <vt:lpstr>ANOVA</vt:lpstr>
      <vt:lpstr>Regression</vt:lpstr>
      <vt:lpstr>Agreement</vt:lpstr>
      <vt:lpstr>Survival</vt:lpstr>
      <vt:lpstr>Meta-analysis</vt:lpstr>
      <vt:lpstr>Graphics</vt:lpstr>
      <vt:lpstr>Tables</vt:lpstr>
      <vt:lpstr>Rates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2026-09-25T03:49:39Z</dcterms:modified>
</cp:coreProperties>
</file>